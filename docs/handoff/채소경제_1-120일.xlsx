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파라미터" sheetId="1" state="visible" r:id="rId1"/>
    <sheet name="일자별 비교" sheetId="2" state="visible" r:id="rId2"/>
    <sheet name="자세히" sheetId="3" state="visible" r:id="rId3"/>
    <sheet name="요약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원&quot;;(#,##0);-"/>
    <numFmt numFmtId="165" formatCode="0&quot;일&quot;"/>
    <numFmt numFmtId="166" formatCode="#,##0.0;(#,##0.0);-"/>
    <numFmt numFmtId="167" formatCode="0&quot;일차&quot;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E8EDE0"/>
      </patternFill>
    </fill>
    <fill>
      <patternFill patternType="solid">
        <fgColor rgb="00FFF2CC"/>
      </patternFill>
    </fill>
    <fill>
      <patternFill patternType="solid">
        <fgColor rgb="004A5A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9" fontId="5" fillId="3" borderId="1" pivotButton="0" quotePrefix="0" xfId="0"/>
    <xf numFmtId="1" fontId="5" fillId="3" borderId="1" pivotButton="0" quotePrefix="0" xfId="0"/>
    <xf numFmtId="0" fontId="3" fillId="0" borderId="0" pivotButton="0" quotePrefix="0" xfId="0"/>
    <xf numFmtId="0" fontId="6" fillId="4" borderId="0" applyAlignment="1" pivotButton="0" quotePrefix="0" xfId="0">
      <alignment horizontal="center"/>
    </xf>
    <xf numFmtId="1" fontId="4" fillId="0" borderId="0" pivotButton="0" quotePrefix="0" xfId="0"/>
    <xf numFmtId="1" fontId="0" fillId="0" borderId="0" pivotButton="0" quotePrefix="0" xfId="0"/>
    <xf numFmtId="164" fontId="0" fillId="0" borderId="0" pivotButton="0" quotePrefix="0" xfId="0"/>
    <xf numFmtId="0" fontId="6" fillId="4" borderId="0" applyAlignment="1" pivotButton="0" quotePrefix="0" xfId="0">
      <alignment horizontal="center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52" customWidth="1" min="3" max="3"/>
  </cols>
  <sheetData>
    <row r="1">
      <c r="A1" s="1" t="inlineStr">
        <is>
          <t>채소 경제 — 손잡이</t>
        </is>
      </c>
    </row>
    <row r="2">
      <c r="A2" s="2" t="inlineStr">
        <is>
          <t>파란 글씨 칸만 고치세요. 나머지 시트가 전부 따라 움직입니다.</t>
        </is>
      </c>
    </row>
    <row r="4">
      <c r="A4" s="3" t="inlineStr">
        <is>
          <t>■ 콩나물</t>
        </is>
      </c>
      <c r="B4" s="4" t="n"/>
      <c r="C4" s="4" t="n"/>
      <c r="D4" s="4" t="n"/>
    </row>
    <row r="5">
      <c r="A5" s="5" t="inlineStr">
        <is>
          <t>회전분 (한 회전에 곳간에 들어가는 값)</t>
        </is>
      </c>
      <c r="B5" s="6" t="n">
        <v>3000</v>
      </c>
      <c r="C5" s="2" t="inlineStr">
        <is>
          <t>cropKindSavedWon[0] · 최상 품질 3끼 기준</t>
        </is>
      </c>
    </row>
    <row r="6">
      <c r="A6" s="5" t="inlineStr">
        <is>
          <t>수확 주기</t>
        </is>
      </c>
      <c r="B6" s="7" t="n">
        <v>5</v>
      </c>
      <c r="C6" s="2" t="inlineStr">
        <is>
          <t>CROP_KINDS.beansprout.harvestDays</t>
        </is>
      </c>
    </row>
    <row r="7">
      <c r="A7" s="5" t="inlineStr">
        <is>
          <t>씨앗값 (실구매)</t>
        </is>
      </c>
      <c r="B7" s="6" t="n">
        <v>700</v>
      </c>
      <c r="C7" s="2" t="inlineStr">
        <is>
          <t>buyPriceOf('bean_seed') · 정가 500 × 웃돈</t>
        </is>
      </c>
    </row>
    <row r="8">
      <c r="A8" s="5" t="inlineStr">
        <is>
          <t>시루값 (실구매)</t>
        </is>
      </c>
      <c r="B8" s="6" t="n">
        <v>7000</v>
      </c>
      <c r="C8" s="2" t="inlineStr">
        <is>
          <t>buyPriceOf('siru') · 정가 5,000 × 웃돈</t>
        </is>
      </c>
    </row>
    <row r="9">
      <c r="A9" s="3" t="inlineStr">
        <is>
          <t>■ 겹침 (같은 날 여러 개를 거둘 때)</t>
        </is>
      </c>
      <c r="B9" s="4" t="n"/>
      <c r="C9" s="4" t="n"/>
      <c r="D9" s="4" t="n"/>
    </row>
    <row r="10">
      <c r="A10" s="5" t="inlineStr">
        <is>
          <t>첫째 배율</t>
        </is>
      </c>
      <c r="B10" s="8" t="n">
        <v>1</v>
      </c>
      <c r="C10" s="2" t="inlineStr">
        <is>
          <t>질림 — 같은 걸 계속 먹으면 값이 떨어진다</t>
        </is>
      </c>
    </row>
    <row r="11">
      <c r="A11" s="5" t="inlineStr">
        <is>
          <t>둘째 배율</t>
        </is>
      </c>
      <c r="B11" s="8" t="n">
        <v>0.667</v>
      </c>
      <c r="C11" s="2" t="inlineStr">
        <is>
          <t>cropKindSavedWon[1] 2,000 ÷ 3,000</t>
        </is>
      </c>
    </row>
    <row r="12">
      <c r="A12" s="5" t="inlineStr">
        <is>
          <t>셋째 배율</t>
        </is>
      </c>
      <c r="B12" s="8" t="n">
        <v>0.333</v>
      </c>
      <c r="C12" s="2" t="inlineStr">
        <is>
          <t>cropKindSavedWon[2] 1,000 ÷ 3,000</t>
        </is>
      </c>
    </row>
    <row r="13">
      <c r="A13" s="5" t="inlineStr">
        <is>
          <t>넷째부터</t>
        </is>
      </c>
      <c r="B13" s="8" t="n">
        <v>0</v>
      </c>
      <c r="C13" s="2" t="inlineStr">
        <is>
          <t>질려서 더는 못 먹는다</t>
        </is>
      </c>
    </row>
    <row r="14">
      <c r="A14" s="3" t="inlineStr">
        <is>
          <t>■ 곳간과 판매</t>
        </is>
      </c>
      <c r="B14" s="4" t="n"/>
      <c r="C14" s="4" t="n"/>
      <c r="D14" s="4" t="n"/>
    </row>
    <row r="15">
      <c r="A15" s="5" t="inlineStr">
        <is>
          <t>하루 곳간 상한</t>
        </is>
      </c>
      <c r="B15" s="6" t="n">
        <v>5000</v>
      </c>
      <c r="C15" s="2" t="inlineStr">
        <is>
          <t>min(종류합 5,000, 끼니상한 2끼×2,500)</t>
        </is>
      </c>
    </row>
    <row r="16">
      <c r="A16" s="5" t="inlineStr">
        <is>
          <t>잉여 판매가율</t>
        </is>
      </c>
      <c r="B16" s="9" t="n">
        <v>0.7</v>
      </c>
      <c r="C16" s="2" t="inlineStr">
        <is>
          <t>곳간이 못 받은 몫만 팔린다</t>
        </is>
      </c>
    </row>
    <row r="17">
      <c r="A17" s="3" t="inlineStr">
        <is>
          <t>■ 살림</t>
        </is>
      </c>
      <c r="B17" s="4" t="n"/>
      <c r="C17" s="4" t="n"/>
      <c r="D17" s="4" t="n"/>
    </row>
    <row r="18">
      <c r="A18" s="5" t="inlineStr">
        <is>
          <t>시작 소지금</t>
        </is>
      </c>
      <c r="B18" s="6" t="n">
        <v>1300000</v>
      </c>
      <c r="C18" s="2" t="inlineStr">
        <is>
          <t>박사님 확정 2026-08-09</t>
        </is>
      </c>
    </row>
    <row r="19">
      <c r="A19" s="5" t="inlineStr">
        <is>
          <t>식대</t>
        </is>
      </c>
      <c r="B19" s="6" t="n">
        <v>7500</v>
      </c>
      <c r="C19" s="2" t="inlineStr">
        <is>
          <t>끼니 2,500원 × 하루 3끼</t>
        </is>
      </c>
    </row>
    <row r="20">
      <c r="A20" s="5" t="inlineStr">
        <is>
          <t>공과금</t>
        </is>
      </c>
      <c r="B20" s="6" t="n">
        <v>2500</v>
      </c>
      <c r="C20" s="2" t="inlineStr">
        <is>
          <t>7.5만원 ÷ 30일</t>
        </is>
      </c>
    </row>
    <row r="21">
      <c r="A21" s="5" t="inlineStr">
        <is>
          <t>월세</t>
        </is>
      </c>
      <c r="B21" s="6" t="n">
        <v>300000</v>
      </c>
      <c r="C21" s="2" t="inlineStr">
        <is>
          <t>30일마다 목돈</t>
        </is>
      </c>
    </row>
    <row r="22">
      <c r="A22" s="5" t="inlineStr">
        <is>
          <t>월세 주기</t>
        </is>
      </c>
      <c r="B22" s="7" t="n">
        <v>30</v>
      </c>
      <c r="C22" s="2" t="inlineStr">
        <is>
          <t>시작일이 주기의 마지막 날 — 1일차에 첫 월세</t>
        </is>
      </c>
    </row>
    <row r="23">
      <c r="A23" s="3" t="inlineStr">
        <is>
          <t>■ 체력</t>
        </is>
      </c>
      <c r="B23" s="4" t="n"/>
      <c r="C23" s="4" t="n"/>
      <c r="D23" s="4" t="n"/>
    </row>
    <row r="24">
      <c r="A24" s="5" t="inlineStr">
        <is>
          <t>시작 최대체력</t>
        </is>
      </c>
      <c r="B24" s="10" t="n">
        <v>5</v>
      </c>
      <c r="C24" s="2" t="inlineStr">
        <is>
          <t>박사님 확정</t>
        </is>
      </c>
    </row>
    <row r="25">
      <c r="A25" s="5" t="inlineStr">
        <is>
          <t>한 시루가 한 회전에 쓰는 손</t>
        </is>
      </c>
      <c r="B25" s="10" t="n">
        <v>3</v>
      </c>
      <c r="C25" s="2" t="inlineStr">
        <is>
          <t>물 1 + 수확 1 + 심기 1</t>
        </is>
      </c>
    </row>
    <row r="27">
      <c r="A27" s="11" t="inlineStr">
        <is>
          <t>이 표가 무엇인가 — 반드시 읽어 주세요</t>
        </is>
      </c>
    </row>
    <row r="28">
      <c r="A28" s="2" t="inlineStr">
        <is>
          <t>· 게임 코드가 아니라 코드에서 뽑은 값으로 만든 모형입니다. 큰 흐름은 맞고 소수 단위는 다를 수 있습니다.</t>
        </is>
      </c>
    </row>
    <row r="29">
      <c r="A29" s="2" t="inlineStr">
        <is>
          <t>· 「분배」는 시루를 하루씩 어긋나게 돌리는 것, 「같은 날」은 전부 한 날에 몰아 거두는 것입니다.</t>
        </is>
      </c>
    </row>
    <row r="30">
      <c r="A30" s="2" t="inlineStr">
        <is>
          <t>· 파산해도 소지금은 0에서 멈춥니다(게임이 그렇습니다). 0이 된 뒤 숫자는 「얼마나 모자란가」를 못 보여 줍니다.</t>
        </is>
      </c>
    </row>
    <row r="31">
      <c r="A31" s="2" t="inlineStr">
        <is>
          <t>· 몬스테라·증식·가구·전기세는 이 표에 없습니다. 채소만입니다.</t>
        </is>
      </c>
    </row>
    <row r="32">
      <c r="A32" s="2" t="inlineStr"/>
    </row>
    <row r="33">
      <c r="A33" s="2" t="inlineStr">
        <is>
          <t>★ 겹침으로 깎인 몫은 버려지지 않고 「잉여」로 팔립니다 (first_play.js — surplusWon = lost + spoiled).</t>
        </is>
      </c>
    </row>
    <row r="34">
      <c r="A34" s="2" t="inlineStr">
        <is>
          <t xml:space="preserve">   그래서 같은 날 몰아 거두면 밥은 줄고 현금은 늡니다. 밥은 하루 상한에 막히지만 현금은 안 막혀서,</t>
        </is>
      </c>
    </row>
    <row r="35">
      <c r="A35" s="2" t="inlineStr">
        <is>
          <t xml:space="preserve">   시루가 아주 많아지면 몰아 거두는 쪽이 현금상 유리해지는 구간이 생깁니다 — 「자세히」 시트에서 운용을 2로 놓고 보세요.</t>
        </is>
      </c>
    </row>
    <row r="36">
      <c r="A36" s="2" t="inlineStr"/>
    </row>
    <row r="37">
      <c r="A37" s="2" t="inlineStr">
        <is>
          <t>▶ 실측과 맞춘 것: 시루 1~5개는 61일차에 마르고, 30개에서 처음으로 안 마릅니다.</t>
        </is>
      </c>
    </row>
    <row r="38">
      <c r="A38" s="2" t="inlineStr">
        <is>
          <t xml:space="preserve">   워커 측정의 「작물 없이 61일」·「식대 자립 = 시루 31개」와 같은 자리입니다.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2" customWidth="1" min="3" max="3"/>
    <col width="14" customWidth="1" min="4" max="4"/>
    <col width="6" customWidth="1" min="5" max="5"/>
    <col width="12" customWidth="1" min="6" max="6"/>
    <col width="14" customWidth="1" min="7" max="7"/>
    <col width="6" customWidth="1" min="8" max="8"/>
    <col width="12" customWidth="1" min="9" max="9"/>
    <col width="14" customWidth="1" min="10" max="10"/>
    <col width="6" customWidth="1" min="11" max="11"/>
    <col width="12" customWidth="1" min="12" max="12"/>
    <col width="14" customWidth="1" min="13" max="13"/>
    <col width="6" customWidth="1" min="14" max="14"/>
    <col width="12" customWidth="1" min="15" max="15"/>
    <col width="14" customWidth="1" min="16" max="16"/>
    <col width="6" customWidth="1" min="17" max="17"/>
    <col width="12" customWidth="1" min="18" max="18"/>
    <col width="14" customWidth="1" min="19" max="19"/>
  </cols>
  <sheetData>
    <row r="1">
      <c r="A1" s="1" t="inlineStr">
        <is>
          <t>시루 수에 따른 120일 — 분배로 돌릴 때</t>
        </is>
      </c>
    </row>
    <row r="2">
      <c r="A2" s="2" t="inlineStr">
        <is>
          <t>각 묶음은 「그날 거두는 시루 수 · 그날 현금 증감 · 누적 소지금」입니다. 파라미터 시트를 고치면 전부 바뀝니다.</t>
        </is>
      </c>
    </row>
    <row r="3">
      <c r="B3" s="12" t="inlineStr">
        <is>
          <t>시루 1개</t>
        </is>
      </c>
      <c r="E3" s="12" t="inlineStr">
        <is>
          <t>시루 2개</t>
        </is>
      </c>
      <c r="H3" s="12" t="inlineStr">
        <is>
          <t>시루 3개</t>
        </is>
      </c>
      <c r="K3" s="12" t="inlineStr">
        <is>
          <t>시루 5개</t>
        </is>
      </c>
      <c r="N3" s="12" t="inlineStr">
        <is>
          <t>시루 10개</t>
        </is>
      </c>
      <c r="Q3" s="12" t="inlineStr">
        <is>
          <t>시루 20개</t>
        </is>
      </c>
    </row>
    <row r="4">
      <c r="A4" s="12" t="inlineStr">
        <is>
          <t>일차</t>
        </is>
      </c>
      <c r="B4" s="12" t="inlineStr">
        <is>
          <t>거둠</t>
        </is>
      </c>
      <c r="C4" s="12" t="inlineStr">
        <is>
          <t>증감</t>
        </is>
      </c>
      <c r="D4" s="12" t="inlineStr">
        <is>
          <t>누적</t>
        </is>
      </c>
      <c r="E4" s="12" t="inlineStr">
        <is>
          <t>거둠</t>
        </is>
      </c>
      <c r="F4" s="12" t="inlineStr">
        <is>
          <t>증감</t>
        </is>
      </c>
      <c r="G4" s="12" t="inlineStr">
        <is>
          <t>누적</t>
        </is>
      </c>
      <c r="H4" s="12" t="inlineStr">
        <is>
          <t>거둠</t>
        </is>
      </c>
      <c r="I4" s="12" t="inlineStr">
        <is>
          <t>증감</t>
        </is>
      </c>
      <c r="J4" s="12" t="inlineStr">
        <is>
          <t>누적</t>
        </is>
      </c>
      <c r="K4" s="12" t="inlineStr">
        <is>
          <t>거둠</t>
        </is>
      </c>
      <c r="L4" s="12" t="inlineStr">
        <is>
          <t>증감</t>
        </is>
      </c>
      <c r="M4" s="12" t="inlineStr">
        <is>
          <t>누적</t>
        </is>
      </c>
      <c r="N4" s="12" t="inlineStr">
        <is>
          <t>거둠</t>
        </is>
      </c>
      <c r="O4" s="12" t="inlineStr">
        <is>
          <t>증감</t>
        </is>
      </c>
      <c r="P4" s="12" t="inlineStr">
        <is>
          <t>누적</t>
        </is>
      </c>
      <c r="Q4" s="12" t="inlineStr">
        <is>
          <t>거둠</t>
        </is>
      </c>
      <c r="R4" s="12" t="inlineStr">
        <is>
          <t>증감</t>
        </is>
      </c>
      <c r="S4" s="12" t="inlineStr">
        <is>
          <t>누적</t>
        </is>
      </c>
    </row>
    <row r="5">
      <c r="A5" s="13" t="n">
        <v>1</v>
      </c>
      <c r="B5" s="14">
        <f>IF(OR($A5&lt;파라미터!$B$6,MOD($A5,파라미터!$B$6)&gt;=1),0,INT((1-MOD($A5,파라미터!$B$6)-1)/파라미터!$B$6)+1)</f>
        <v/>
      </c>
      <c r="C5" s="15">
        <f>((B5*파라미터!$B$5-파라미터!$B$5*(IF(B5&gt;=1,파라미터!$B$10,0)+IF(B5&gt;=2,파라미터!$B$11,0)+IF(B5&gt;=3,파라미터!$B$12,0)))+MAX(0,파라미터!$B$5*(IF(B5&gt;=1,파라미터!$B$10,0)+IF(B5&gt;=2,파라미터!$B$11,0)+IF(B5&gt;=3,파라미터!$B$12,0))-파라미터!$B$15))*파라미터!$B$16-B5*파라미터!$B$7-MAX(0,파라미터!$B$19+파라미터!$B$20-MIN(파라미터!$B$15,파라미터!$B$5*(IF(B5&gt;=1,파라미터!$B$10,0)+IF(B5&gt;=2,파라미터!$B$11,0)+IF(B5&gt;=3,파라미터!$B$12,0))))-IF(MOD($A5-1,파라미터!$B$22)=0,파라미터!$B$21,0)</f>
        <v/>
      </c>
      <c r="D5" s="15">
        <f>MAX(0,파라미터!$B$18+C5)</f>
        <v/>
      </c>
      <c r="E5" s="14">
        <f>IF(OR($A5&lt;파라미터!$B$6,MOD($A5,파라미터!$B$6)&gt;=2),0,INT((2-MOD($A5,파라미터!$B$6)-1)/파라미터!$B$6)+1)</f>
        <v/>
      </c>
      <c r="F5" s="15">
        <f>((E5*파라미터!$B$5-파라미터!$B$5*(IF(E5&gt;=1,파라미터!$B$10,0)+IF(E5&gt;=2,파라미터!$B$11,0)+IF(E5&gt;=3,파라미터!$B$12,0)))+MAX(0,파라미터!$B$5*(IF(E5&gt;=1,파라미터!$B$10,0)+IF(E5&gt;=2,파라미터!$B$11,0)+IF(E5&gt;=3,파라미터!$B$12,0))-파라미터!$B$15))*파라미터!$B$16-E5*파라미터!$B$7-MAX(0,파라미터!$B$19+파라미터!$B$20-MIN(파라미터!$B$15,파라미터!$B$5*(IF(E5&gt;=1,파라미터!$B$10,0)+IF(E5&gt;=2,파라미터!$B$11,0)+IF(E5&gt;=3,파라미터!$B$12,0))))-IF(MOD($A5-1,파라미터!$B$22)=0,파라미터!$B$21,0)</f>
        <v/>
      </c>
      <c r="G5" s="15">
        <f>MAX(0,파라미터!$B$18+F5)</f>
        <v/>
      </c>
      <c r="H5" s="14">
        <f>IF(OR($A5&lt;파라미터!$B$6,MOD($A5,파라미터!$B$6)&gt;=3),0,INT((3-MOD($A5,파라미터!$B$6)-1)/파라미터!$B$6)+1)</f>
        <v/>
      </c>
      <c r="I5" s="15">
        <f>((H5*파라미터!$B$5-파라미터!$B$5*(IF(H5&gt;=1,파라미터!$B$10,0)+IF(H5&gt;=2,파라미터!$B$11,0)+IF(H5&gt;=3,파라미터!$B$12,0)))+MAX(0,파라미터!$B$5*(IF(H5&gt;=1,파라미터!$B$10,0)+IF(H5&gt;=2,파라미터!$B$11,0)+IF(H5&gt;=3,파라미터!$B$12,0))-파라미터!$B$15))*파라미터!$B$16-H5*파라미터!$B$7-MAX(0,파라미터!$B$19+파라미터!$B$20-MIN(파라미터!$B$15,파라미터!$B$5*(IF(H5&gt;=1,파라미터!$B$10,0)+IF(H5&gt;=2,파라미터!$B$11,0)+IF(H5&gt;=3,파라미터!$B$12,0))))-IF(MOD($A5-1,파라미터!$B$22)=0,파라미터!$B$21,0)</f>
        <v/>
      </c>
      <c r="J5" s="15">
        <f>MAX(0,파라미터!$B$18+I5)</f>
        <v/>
      </c>
      <c r="K5" s="14">
        <f>IF(OR($A5&lt;파라미터!$B$6,MOD($A5,파라미터!$B$6)&gt;=5),0,INT((5-MOD($A5,파라미터!$B$6)-1)/파라미터!$B$6)+1)</f>
        <v/>
      </c>
      <c r="L5" s="15">
        <f>((K5*파라미터!$B$5-파라미터!$B$5*(IF(K5&gt;=1,파라미터!$B$10,0)+IF(K5&gt;=2,파라미터!$B$11,0)+IF(K5&gt;=3,파라미터!$B$12,0)))+MAX(0,파라미터!$B$5*(IF(K5&gt;=1,파라미터!$B$10,0)+IF(K5&gt;=2,파라미터!$B$11,0)+IF(K5&gt;=3,파라미터!$B$12,0))-파라미터!$B$15))*파라미터!$B$16-K5*파라미터!$B$7-MAX(0,파라미터!$B$19+파라미터!$B$20-MIN(파라미터!$B$15,파라미터!$B$5*(IF(K5&gt;=1,파라미터!$B$10,0)+IF(K5&gt;=2,파라미터!$B$11,0)+IF(K5&gt;=3,파라미터!$B$12,0))))-IF(MOD($A5-1,파라미터!$B$22)=0,파라미터!$B$21,0)</f>
        <v/>
      </c>
      <c r="M5" s="15">
        <f>MAX(0,파라미터!$B$18+L5)</f>
        <v/>
      </c>
      <c r="N5" s="14">
        <f>IF(OR($A5&lt;파라미터!$B$6,MOD($A5,파라미터!$B$6)&gt;=10),0,INT((10-MOD($A5,파라미터!$B$6)-1)/파라미터!$B$6)+1)</f>
        <v/>
      </c>
      <c r="O5" s="15">
        <f>((N5*파라미터!$B$5-파라미터!$B$5*(IF(N5&gt;=1,파라미터!$B$10,0)+IF(N5&gt;=2,파라미터!$B$11,0)+IF(N5&gt;=3,파라미터!$B$12,0)))+MAX(0,파라미터!$B$5*(IF(N5&gt;=1,파라미터!$B$10,0)+IF(N5&gt;=2,파라미터!$B$11,0)+IF(N5&gt;=3,파라미터!$B$12,0))-파라미터!$B$15))*파라미터!$B$16-N5*파라미터!$B$7-MAX(0,파라미터!$B$19+파라미터!$B$20-MIN(파라미터!$B$15,파라미터!$B$5*(IF(N5&gt;=1,파라미터!$B$10,0)+IF(N5&gt;=2,파라미터!$B$11,0)+IF(N5&gt;=3,파라미터!$B$12,0))))-IF(MOD($A5-1,파라미터!$B$22)=0,파라미터!$B$21,0)</f>
        <v/>
      </c>
      <c r="P5" s="15">
        <f>MAX(0,파라미터!$B$18+O5)</f>
        <v/>
      </c>
      <c r="Q5" s="14">
        <f>IF(OR($A5&lt;파라미터!$B$6,MOD($A5,파라미터!$B$6)&gt;=20),0,INT((20-MOD($A5,파라미터!$B$6)-1)/파라미터!$B$6)+1)</f>
        <v/>
      </c>
      <c r="R5" s="15">
        <f>((Q5*파라미터!$B$5-파라미터!$B$5*(IF(Q5&gt;=1,파라미터!$B$10,0)+IF(Q5&gt;=2,파라미터!$B$11,0)+IF(Q5&gt;=3,파라미터!$B$12,0)))+MAX(0,파라미터!$B$5*(IF(Q5&gt;=1,파라미터!$B$10,0)+IF(Q5&gt;=2,파라미터!$B$11,0)+IF(Q5&gt;=3,파라미터!$B$12,0))-파라미터!$B$15))*파라미터!$B$16-Q5*파라미터!$B$7-MAX(0,파라미터!$B$19+파라미터!$B$20-MIN(파라미터!$B$15,파라미터!$B$5*(IF(Q5&gt;=1,파라미터!$B$10,0)+IF(Q5&gt;=2,파라미터!$B$11,0)+IF(Q5&gt;=3,파라미터!$B$12,0))))-IF(MOD($A5-1,파라미터!$B$22)=0,파라미터!$B$21,0)</f>
        <v/>
      </c>
      <c r="S5" s="15">
        <f>MAX(0,파라미터!$B$18+R5)</f>
        <v/>
      </c>
    </row>
    <row r="6">
      <c r="A6" s="13" t="n">
        <v>2</v>
      </c>
      <c r="B6" s="14">
        <f>IF(OR($A6&lt;파라미터!$B$6,MOD($A6,파라미터!$B$6)&gt;=1),0,INT((1-MOD($A6,파라미터!$B$6)-1)/파라미터!$B$6)+1)</f>
        <v/>
      </c>
      <c r="C6" s="15">
        <f>((B6*파라미터!$B$5-파라미터!$B$5*(IF(B6&gt;=1,파라미터!$B$10,0)+IF(B6&gt;=2,파라미터!$B$11,0)+IF(B6&gt;=3,파라미터!$B$12,0)))+MAX(0,파라미터!$B$5*(IF(B6&gt;=1,파라미터!$B$10,0)+IF(B6&gt;=2,파라미터!$B$11,0)+IF(B6&gt;=3,파라미터!$B$12,0))-파라미터!$B$15))*파라미터!$B$16-B6*파라미터!$B$7-MAX(0,파라미터!$B$19+파라미터!$B$20-MIN(파라미터!$B$15,파라미터!$B$5*(IF(B6&gt;=1,파라미터!$B$10,0)+IF(B6&gt;=2,파라미터!$B$11,0)+IF(B6&gt;=3,파라미터!$B$12,0))))-IF(MOD($A6-1,파라미터!$B$22)=0,파라미터!$B$21,0)</f>
        <v/>
      </c>
      <c r="D6" s="15">
        <f>MAX(0,D5+C6)</f>
        <v/>
      </c>
      <c r="E6" s="14">
        <f>IF(OR($A6&lt;파라미터!$B$6,MOD($A6,파라미터!$B$6)&gt;=2),0,INT((2-MOD($A6,파라미터!$B$6)-1)/파라미터!$B$6)+1)</f>
        <v/>
      </c>
      <c r="F6" s="15">
        <f>((E6*파라미터!$B$5-파라미터!$B$5*(IF(E6&gt;=1,파라미터!$B$10,0)+IF(E6&gt;=2,파라미터!$B$11,0)+IF(E6&gt;=3,파라미터!$B$12,0)))+MAX(0,파라미터!$B$5*(IF(E6&gt;=1,파라미터!$B$10,0)+IF(E6&gt;=2,파라미터!$B$11,0)+IF(E6&gt;=3,파라미터!$B$12,0))-파라미터!$B$15))*파라미터!$B$16-E6*파라미터!$B$7-MAX(0,파라미터!$B$19+파라미터!$B$20-MIN(파라미터!$B$15,파라미터!$B$5*(IF(E6&gt;=1,파라미터!$B$10,0)+IF(E6&gt;=2,파라미터!$B$11,0)+IF(E6&gt;=3,파라미터!$B$12,0))))-IF(MOD($A6-1,파라미터!$B$22)=0,파라미터!$B$21,0)</f>
        <v/>
      </c>
      <c r="G6" s="15">
        <f>MAX(0,G5+F6)</f>
        <v/>
      </c>
      <c r="H6" s="14">
        <f>IF(OR($A6&lt;파라미터!$B$6,MOD($A6,파라미터!$B$6)&gt;=3),0,INT((3-MOD($A6,파라미터!$B$6)-1)/파라미터!$B$6)+1)</f>
        <v/>
      </c>
      <c r="I6" s="15">
        <f>((H6*파라미터!$B$5-파라미터!$B$5*(IF(H6&gt;=1,파라미터!$B$10,0)+IF(H6&gt;=2,파라미터!$B$11,0)+IF(H6&gt;=3,파라미터!$B$12,0)))+MAX(0,파라미터!$B$5*(IF(H6&gt;=1,파라미터!$B$10,0)+IF(H6&gt;=2,파라미터!$B$11,0)+IF(H6&gt;=3,파라미터!$B$12,0))-파라미터!$B$15))*파라미터!$B$16-H6*파라미터!$B$7-MAX(0,파라미터!$B$19+파라미터!$B$20-MIN(파라미터!$B$15,파라미터!$B$5*(IF(H6&gt;=1,파라미터!$B$10,0)+IF(H6&gt;=2,파라미터!$B$11,0)+IF(H6&gt;=3,파라미터!$B$12,0))))-IF(MOD($A6-1,파라미터!$B$22)=0,파라미터!$B$21,0)</f>
        <v/>
      </c>
      <c r="J6" s="15">
        <f>MAX(0,J5+I6)</f>
        <v/>
      </c>
      <c r="K6" s="14">
        <f>IF(OR($A6&lt;파라미터!$B$6,MOD($A6,파라미터!$B$6)&gt;=5),0,INT((5-MOD($A6,파라미터!$B$6)-1)/파라미터!$B$6)+1)</f>
        <v/>
      </c>
      <c r="L6" s="15">
        <f>((K6*파라미터!$B$5-파라미터!$B$5*(IF(K6&gt;=1,파라미터!$B$10,0)+IF(K6&gt;=2,파라미터!$B$11,0)+IF(K6&gt;=3,파라미터!$B$12,0)))+MAX(0,파라미터!$B$5*(IF(K6&gt;=1,파라미터!$B$10,0)+IF(K6&gt;=2,파라미터!$B$11,0)+IF(K6&gt;=3,파라미터!$B$12,0))-파라미터!$B$15))*파라미터!$B$16-K6*파라미터!$B$7-MAX(0,파라미터!$B$19+파라미터!$B$20-MIN(파라미터!$B$15,파라미터!$B$5*(IF(K6&gt;=1,파라미터!$B$10,0)+IF(K6&gt;=2,파라미터!$B$11,0)+IF(K6&gt;=3,파라미터!$B$12,0))))-IF(MOD($A6-1,파라미터!$B$22)=0,파라미터!$B$21,0)</f>
        <v/>
      </c>
      <c r="M6" s="15">
        <f>MAX(0,M5+L6)</f>
        <v/>
      </c>
      <c r="N6" s="14">
        <f>IF(OR($A6&lt;파라미터!$B$6,MOD($A6,파라미터!$B$6)&gt;=10),0,INT((10-MOD($A6,파라미터!$B$6)-1)/파라미터!$B$6)+1)</f>
        <v/>
      </c>
      <c r="O6" s="15">
        <f>((N6*파라미터!$B$5-파라미터!$B$5*(IF(N6&gt;=1,파라미터!$B$10,0)+IF(N6&gt;=2,파라미터!$B$11,0)+IF(N6&gt;=3,파라미터!$B$12,0)))+MAX(0,파라미터!$B$5*(IF(N6&gt;=1,파라미터!$B$10,0)+IF(N6&gt;=2,파라미터!$B$11,0)+IF(N6&gt;=3,파라미터!$B$12,0))-파라미터!$B$15))*파라미터!$B$16-N6*파라미터!$B$7-MAX(0,파라미터!$B$19+파라미터!$B$20-MIN(파라미터!$B$15,파라미터!$B$5*(IF(N6&gt;=1,파라미터!$B$10,0)+IF(N6&gt;=2,파라미터!$B$11,0)+IF(N6&gt;=3,파라미터!$B$12,0))))-IF(MOD($A6-1,파라미터!$B$22)=0,파라미터!$B$21,0)</f>
        <v/>
      </c>
      <c r="P6" s="15">
        <f>MAX(0,P5+O6)</f>
        <v/>
      </c>
      <c r="Q6" s="14">
        <f>IF(OR($A6&lt;파라미터!$B$6,MOD($A6,파라미터!$B$6)&gt;=20),0,INT((20-MOD($A6,파라미터!$B$6)-1)/파라미터!$B$6)+1)</f>
        <v/>
      </c>
      <c r="R6" s="15">
        <f>((Q6*파라미터!$B$5-파라미터!$B$5*(IF(Q6&gt;=1,파라미터!$B$10,0)+IF(Q6&gt;=2,파라미터!$B$11,0)+IF(Q6&gt;=3,파라미터!$B$12,0)))+MAX(0,파라미터!$B$5*(IF(Q6&gt;=1,파라미터!$B$10,0)+IF(Q6&gt;=2,파라미터!$B$11,0)+IF(Q6&gt;=3,파라미터!$B$12,0))-파라미터!$B$15))*파라미터!$B$16-Q6*파라미터!$B$7-MAX(0,파라미터!$B$19+파라미터!$B$20-MIN(파라미터!$B$15,파라미터!$B$5*(IF(Q6&gt;=1,파라미터!$B$10,0)+IF(Q6&gt;=2,파라미터!$B$11,0)+IF(Q6&gt;=3,파라미터!$B$12,0))))-IF(MOD($A6-1,파라미터!$B$22)=0,파라미터!$B$21,0)</f>
        <v/>
      </c>
      <c r="S6" s="15">
        <f>MAX(0,S5+R6)</f>
        <v/>
      </c>
    </row>
    <row r="7">
      <c r="A7" s="13" t="n">
        <v>3</v>
      </c>
      <c r="B7" s="14">
        <f>IF(OR($A7&lt;파라미터!$B$6,MOD($A7,파라미터!$B$6)&gt;=1),0,INT((1-MOD($A7,파라미터!$B$6)-1)/파라미터!$B$6)+1)</f>
        <v/>
      </c>
      <c r="C7" s="15">
        <f>((B7*파라미터!$B$5-파라미터!$B$5*(IF(B7&gt;=1,파라미터!$B$10,0)+IF(B7&gt;=2,파라미터!$B$11,0)+IF(B7&gt;=3,파라미터!$B$12,0)))+MAX(0,파라미터!$B$5*(IF(B7&gt;=1,파라미터!$B$10,0)+IF(B7&gt;=2,파라미터!$B$11,0)+IF(B7&gt;=3,파라미터!$B$12,0))-파라미터!$B$15))*파라미터!$B$16-B7*파라미터!$B$7-MAX(0,파라미터!$B$19+파라미터!$B$20-MIN(파라미터!$B$15,파라미터!$B$5*(IF(B7&gt;=1,파라미터!$B$10,0)+IF(B7&gt;=2,파라미터!$B$11,0)+IF(B7&gt;=3,파라미터!$B$12,0))))-IF(MOD($A7-1,파라미터!$B$22)=0,파라미터!$B$21,0)</f>
        <v/>
      </c>
      <c r="D7" s="15">
        <f>MAX(0,D6+C7)</f>
        <v/>
      </c>
      <c r="E7" s="14">
        <f>IF(OR($A7&lt;파라미터!$B$6,MOD($A7,파라미터!$B$6)&gt;=2),0,INT((2-MOD($A7,파라미터!$B$6)-1)/파라미터!$B$6)+1)</f>
        <v/>
      </c>
      <c r="F7" s="15">
        <f>((E7*파라미터!$B$5-파라미터!$B$5*(IF(E7&gt;=1,파라미터!$B$10,0)+IF(E7&gt;=2,파라미터!$B$11,0)+IF(E7&gt;=3,파라미터!$B$12,0)))+MAX(0,파라미터!$B$5*(IF(E7&gt;=1,파라미터!$B$10,0)+IF(E7&gt;=2,파라미터!$B$11,0)+IF(E7&gt;=3,파라미터!$B$12,0))-파라미터!$B$15))*파라미터!$B$16-E7*파라미터!$B$7-MAX(0,파라미터!$B$19+파라미터!$B$20-MIN(파라미터!$B$15,파라미터!$B$5*(IF(E7&gt;=1,파라미터!$B$10,0)+IF(E7&gt;=2,파라미터!$B$11,0)+IF(E7&gt;=3,파라미터!$B$12,0))))-IF(MOD($A7-1,파라미터!$B$22)=0,파라미터!$B$21,0)</f>
        <v/>
      </c>
      <c r="G7" s="15">
        <f>MAX(0,G6+F7)</f>
        <v/>
      </c>
      <c r="H7" s="14">
        <f>IF(OR($A7&lt;파라미터!$B$6,MOD($A7,파라미터!$B$6)&gt;=3),0,INT((3-MOD($A7,파라미터!$B$6)-1)/파라미터!$B$6)+1)</f>
        <v/>
      </c>
      <c r="I7" s="15">
        <f>((H7*파라미터!$B$5-파라미터!$B$5*(IF(H7&gt;=1,파라미터!$B$10,0)+IF(H7&gt;=2,파라미터!$B$11,0)+IF(H7&gt;=3,파라미터!$B$12,0)))+MAX(0,파라미터!$B$5*(IF(H7&gt;=1,파라미터!$B$10,0)+IF(H7&gt;=2,파라미터!$B$11,0)+IF(H7&gt;=3,파라미터!$B$12,0))-파라미터!$B$15))*파라미터!$B$16-H7*파라미터!$B$7-MAX(0,파라미터!$B$19+파라미터!$B$20-MIN(파라미터!$B$15,파라미터!$B$5*(IF(H7&gt;=1,파라미터!$B$10,0)+IF(H7&gt;=2,파라미터!$B$11,0)+IF(H7&gt;=3,파라미터!$B$12,0))))-IF(MOD($A7-1,파라미터!$B$22)=0,파라미터!$B$21,0)</f>
        <v/>
      </c>
      <c r="J7" s="15">
        <f>MAX(0,J6+I7)</f>
        <v/>
      </c>
      <c r="K7" s="14">
        <f>IF(OR($A7&lt;파라미터!$B$6,MOD($A7,파라미터!$B$6)&gt;=5),0,INT((5-MOD($A7,파라미터!$B$6)-1)/파라미터!$B$6)+1)</f>
        <v/>
      </c>
      <c r="L7" s="15">
        <f>((K7*파라미터!$B$5-파라미터!$B$5*(IF(K7&gt;=1,파라미터!$B$10,0)+IF(K7&gt;=2,파라미터!$B$11,0)+IF(K7&gt;=3,파라미터!$B$12,0)))+MAX(0,파라미터!$B$5*(IF(K7&gt;=1,파라미터!$B$10,0)+IF(K7&gt;=2,파라미터!$B$11,0)+IF(K7&gt;=3,파라미터!$B$12,0))-파라미터!$B$15))*파라미터!$B$16-K7*파라미터!$B$7-MAX(0,파라미터!$B$19+파라미터!$B$20-MIN(파라미터!$B$15,파라미터!$B$5*(IF(K7&gt;=1,파라미터!$B$10,0)+IF(K7&gt;=2,파라미터!$B$11,0)+IF(K7&gt;=3,파라미터!$B$12,0))))-IF(MOD($A7-1,파라미터!$B$22)=0,파라미터!$B$21,0)</f>
        <v/>
      </c>
      <c r="M7" s="15">
        <f>MAX(0,M6+L7)</f>
        <v/>
      </c>
      <c r="N7" s="14">
        <f>IF(OR($A7&lt;파라미터!$B$6,MOD($A7,파라미터!$B$6)&gt;=10),0,INT((10-MOD($A7,파라미터!$B$6)-1)/파라미터!$B$6)+1)</f>
        <v/>
      </c>
      <c r="O7" s="15">
        <f>((N7*파라미터!$B$5-파라미터!$B$5*(IF(N7&gt;=1,파라미터!$B$10,0)+IF(N7&gt;=2,파라미터!$B$11,0)+IF(N7&gt;=3,파라미터!$B$12,0)))+MAX(0,파라미터!$B$5*(IF(N7&gt;=1,파라미터!$B$10,0)+IF(N7&gt;=2,파라미터!$B$11,0)+IF(N7&gt;=3,파라미터!$B$12,0))-파라미터!$B$15))*파라미터!$B$16-N7*파라미터!$B$7-MAX(0,파라미터!$B$19+파라미터!$B$20-MIN(파라미터!$B$15,파라미터!$B$5*(IF(N7&gt;=1,파라미터!$B$10,0)+IF(N7&gt;=2,파라미터!$B$11,0)+IF(N7&gt;=3,파라미터!$B$12,0))))-IF(MOD($A7-1,파라미터!$B$22)=0,파라미터!$B$21,0)</f>
        <v/>
      </c>
      <c r="P7" s="15">
        <f>MAX(0,P6+O7)</f>
        <v/>
      </c>
      <c r="Q7" s="14">
        <f>IF(OR($A7&lt;파라미터!$B$6,MOD($A7,파라미터!$B$6)&gt;=20),0,INT((20-MOD($A7,파라미터!$B$6)-1)/파라미터!$B$6)+1)</f>
        <v/>
      </c>
      <c r="R7" s="15">
        <f>((Q7*파라미터!$B$5-파라미터!$B$5*(IF(Q7&gt;=1,파라미터!$B$10,0)+IF(Q7&gt;=2,파라미터!$B$11,0)+IF(Q7&gt;=3,파라미터!$B$12,0)))+MAX(0,파라미터!$B$5*(IF(Q7&gt;=1,파라미터!$B$10,0)+IF(Q7&gt;=2,파라미터!$B$11,0)+IF(Q7&gt;=3,파라미터!$B$12,0))-파라미터!$B$15))*파라미터!$B$16-Q7*파라미터!$B$7-MAX(0,파라미터!$B$19+파라미터!$B$20-MIN(파라미터!$B$15,파라미터!$B$5*(IF(Q7&gt;=1,파라미터!$B$10,0)+IF(Q7&gt;=2,파라미터!$B$11,0)+IF(Q7&gt;=3,파라미터!$B$12,0))))-IF(MOD($A7-1,파라미터!$B$22)=0,파라미터!$B$21,0)</f>
        <v/>
      </c>
      <c r="S7" s="15">
        <f>MAX(0,S6+R7)</f>
        <v/>
      </c>
    </row>
    <row r="8">
      <c r="A8" s="13" t="n">
        <v>4</v>
      </c>
      <c r="B8" s="14">
        <f>IF(OR($A8&lt;파라미터!$B$6,MOD($A8,파라미터!$B$6)&gt;=1),0,INT((1-MOD($A8,파라미터!$B$6)-1)/파라미터!$B$6)+1)</f>
        <v/>
      </c>
      <c r="C8" s="15">
        <f>((B8*파라미터!$B$5-파라미터!$B$5*(IF(B8&gt;=1,파라미터!$B$10,0)+IF(B8&gt;=2,파라미터!$B$11,0)+IF(B8&gt;=3,파라미터!$B$12,0)))+MAX(0,파라미터!$B$5*(IF(B8&gt;=1,파라미터!$B$10,0)+IF(B8&gt;=2,파라미터!$B$11,0)+IF(B8&gt;=3,파라미터!$B$12,0))-파라미터!$B$15))*파라미터!$B$16-B8*파라미터!$B$7-MAX(0,파라미터!$B$19+파라미터!$B$20-MIN(파라미터!$B$15,파라미터!$B$5*(IF(B8&gt;=1,파라미터!$B$10,0)+IF(B8&gt;=2,파라미터!$B$11,0)+IF(B8&gt;=3,파라미터!$B$12,0))))-IF(MOD($A8-1,파라미터!$B$22)=0,파라미터!$B$21,0)</f>
        <v/>
      </c>
      <c r="D8" s="15">
        <f>MAX(0,D7+C8)</f>
        <v/>
      </c>
      <c r="E8" s="14">
        <f>IF(OR($A8&lt;파라미터!$B$6,MOD($A8,파라미터!$B$6)&gt;=2),0,INT((2-MOD($A8,파라미터!$B$6)-1)/파라미터!$B$6)+1)</f>
        <v/>
      </c>
      <c r="F8" s="15">
        <f>((E8*파라미터!$B$5-파라미터!$B$5*(IF(E8&gt;=1,파라미터!$B$10,0)+IF(E8&gt;=2,파라미터!$B$11,0)+IF(E8&gt;=3,파라미터!$B$12,0)))+MAX(0,파라미터!$B$5*(IF(E8&gt;=1,파라미터!$B$10,0)+IF(E8&gt;=2,파라미터!$B$11,0)+IF(E8&gt;=3,파라미터!$B$12,0))-파라미터!$B$15))*파라미터!$B$16-E8*파라미터!$B$7-MAX(0,파라미터!$B$19+파라미터!$B$20-MIN(파라미터!$B$15,파라미터!$B$5*(IF(E8&gt;=1,파라미터!$B$10,0)+IF(E8&gt;=2,파라미터!$B$11,0)+IF(E8&gt;=3,파라미터!$B$12,0))))-IF(MOD($A8-1,파라미터!$B$22)=0,파라미터!$B$21,0)</f>
        <v/>
      </c>
      <c r="G8" s="15">
        <f>MAX(0,G7+F8)</f>
        <v/>
      </c>
      <c r="H8" s="14">
        <f>IF(OR($A8&lt;파라미터!$B$6,MOD($A8,파라미터!$B$6)&gt;=3),0,INT((3-MOD($A8,파라미터!$B$6)-1)/파라미터!$B$6)+1)</f>
        <v/>
      </c>
      <c r="I8" s="15">
        <f>((H8*파라미터!$B$5-파라미터!$B$5*(IF(H8&gt;=1,파라미터!$B$10,0)+IF(H8&gt;=2,파라미터!$B$11,0)+IF(H8&gt;=3,파라미터!$B$12,0)))+MAX(0,파라미터!$B$5*(IF(H8&gt;=1,파라미터!$B$10,0)+IF(H8&gt;=2,파라미터!$B$11,0)+IF(H8&gt;=3,파라미터!$B$12,0))-파라미터!$B$15))*파라미터!$B$16-H8*파라미터!$B$7-MAX(0,파라미터!$B$19+파라미터!$B$20-MIN(파라미터!$B$15,파라미터!$B$5*(IF(H8&gt;=1,파라미터!$B$10,0)+IF(H8&gt;=2,파라미터!$B$11,0)+IF(H8&gt;=3,파라미터!$B$12,0))))-IF(MOD($A8-1,파라미터!$B$22)=0,파라미터!$B$21,0)</f>
        <v/>
      </c>
      <c r="J8" s="15">
        <f>MAX(0,J7+I8)</f>
        <v/>
      </c>
      <c r="K8" s="14">
        <f>IF(OR($A8&lt;파라미터!$B$6,MOD($A8,파라미터!$B$6)&gt;=5),0,INT((5-MOD($A8,파라미터!$B$6)-1)/파라미터!$B$6)+1)</f>
        <v/>
      </c>
      <c r="L8" s="15">
        <f>((K8*파라미터!$B$5-파라미터!$B$5*(IF(K8&gt;=1,파라미터!$B$10,0)+IF(K8&gt;=2,파라미터!$B$11,0)+IF(K8&gt;=3,파라미터!$B$12,0)))+MAX(0,파라미터!$B$5*(IF(K8&gt;=1,파라미터!$B$10,0)+IF(K8&gt;=2,파라미터!$B$11,0)+IF(K8&gt;=3,파라미터!$B$12,0))-파라미터!$B$15))*파라미터!$B$16-K8*파라미터!$B$7-MAX(0,파라미터!$B$19+파라미터!$B$20-MIN(파라미터!$B$15,파라미터!$B$5*(IF(K8&gt;=1,파라미터!$B$10,0)+IF(K8&gt;=2,파라미터!$B$11,0)+IF(K8&gt;=3,파라미터!$B$12,0))))-IF(MOD($A8-1,파라미터!$B$22)=0,파라미터!$B$21,0)</f>
        <v/>
      </c>
      <c r="M8" s="15">
        <f>MAX(0,M7+L8)</f>
        <v/>
      </c>
      <c r="N8" s="14">
        <f>IF(OR($A8&lt;파라미터!$B$6,MOD($A8,파라미터!$B$6)&gt;=10),0,INT((10-MOD($A8,파라미터!$B$6)-1)/파라미터!$B$6)+1)</f>
        <v/>
      </c>
      <c r="O8" s="15">
        <f>((N8*파라미터!$B$5-파라미터!$B$5*(IF(N8&gt;=1,파라미터!$B$10,0)+IF(N8&gt;=2,파라미터!$B$11,0)+IF(N8&gt;=3,파라미터!$B$12,0)))+MAX(0,파라미터!$B$5*(IF(N8&gt;=1,파라미터!$B$10,0)+IF(N8&gt;=2,파라미터!$B$11,0)+IF(N8&gt;=3,파라미터!$B$12,0))-파라미터!$B$15))*파라미터!$B$16-N8*파라미터!$B$7-MAX(0,파라미터!$B$19+파라미터!$B$20-MIN(파라미터!$B$15,파라미터!$B$5*(IF(N8&gt;=1,파라미터!$B$10,0)+IF(N8&gt;=2,파라미터!$B$11,0)+IF(N8&gt;=3,파라미터!$B$12,0))))-IF(MOD($A8-1,파라미터!$B$22)=0,파라미터!$B$21,0)</f>
        <v/>
      </c>
      <c r="P8" s="15">
        <f>MAX(0,P7+O8)</f>
        <v/>
      </c>
      <c r="Q8" s="14">
        <f>IF(OR($A8&lt;파라미터!$B$6,MOD($A8,파라미터!$B$6)&gt;=20),0,INT((20-MOD($A8,파라미터!$B$6)-1)/파라미터!$B$6)+1)</f>
        <v/>
      </c>
      <c r="R8" s="15">
        <f>((Q8*파라미터!$B$5-파라미터!$B$5*(IF(Q8&gt;=1,파라미터!$B$10,0)+IF(Q8&gt;=2,파라미터!$B$11,0)+IF(Q8&gt;=3,파라미터!$B$12,0)))+MAX(0,파라미터!$B$5*(IF(Q8&gt;=1,파라미터!$B$10,0)+IF(Q8&gt;=2,파라미터!$B$11,0)+IF(Q8&gt;=3,파라미터!$B$12,0))-파라미터!$B$15))*파라미터!$B$16-Q8*파라미터!$B$7-MAX(0,파라미터!$B$19+파라미터!$B$20-MIN(파라미터!$B$15,파라미터!$B$5*(IF(Q8&gt;=1,파라미터!$B$10,0)+IF(Q8&gt;=2,파라미터!$B$11,0)+IF(Q8&gt;=3,파라미터!$B$12,0))))-IF(MOD($A8-1,파라미터!$B$22)=0,파라미터!$B$21,0)</f>
        <v/>
      </c>
      <c r="S8" s="15">
        <f>MAX(0,S7+R8)</f>
        <v/>
      </c>
    </row>
    <row r="9">
      <c r="A9" s="13" t="n">
        <v>5</v>
      </c>
      <c r="B9" s="14">
        <f>IF(OR($A9&lt;파라미터!$B$6,MOD($A9,파라미터!$B$6)&gt;=1),0,INT((1-MOD($A9,파라미터!$B$6)-1)/파라미터!$B$6)+1)</f>
        <v/>
      </c>
      <c r="C9" s="15">
        <f>((B9*파라미터!$B$5-파라미터!$B$5*(IF(B9&gt;=1,파라미터!$B$10,0)+IF(B9&gt;=2,파라미터!$B$11,0)+IF(B9&gt;=3,파라미터!$B$12,0)))+MAX(0,파라미터!$B$5*(IF(B9&gt;=1,파라미터!$B$10,0)+IF(B9&gt;=2,파라미터!$B$11,0)+IF(B9&gt;=3,파라미터!$B$12,0))-파라미터!$B$15))*파라미터!$B$16-B9*파라미터!$B$7-MAX(0,파라미터!$B$19+파라미터!$B$20-MIN(파라미터!$B$15,파라미터!$B$5*(IF(B9&gt;=1,파라미터!$B$10,0)+IF(B9&gt;=2,파라미터!$B$11,0)+IF(B9&gt;=3,파라미터!$B$12,0))))-IF(MOD($A9-1,파라미터!$B$22)=0,파라미터!$B$21,0)</f>
        <v/>
      </c>
      <c r="D9" s="15">
        <f>MAX(0,D8+C9)</f>
        <v/>
      </c>
      <c r="E9" s="14">
        <f>IF(OR($A9&lt;파라미터!$B$6,MOD($A9,파라미터!$B$6)&gt;=2),0,INT((2-MOD($A9,파라미터!$B$6)-1)/파라미터!$B$6)+1)</f>
        <v/>
      </c>
      <c r="F9" s="15">
        <f>((E9*파라미터!$B$5-파라미터!$B$5*(IF(E9&gt;=1,파라미터!$B$10,0)+IF(E9&gt;=2,파라미터!$B$11,0)+IF(E9&gt;=3,파라미터!$B$12,0)))+MAX(0,파라미터!$B$5*(IF(E9&gt;=1,파라미터!$B$10,0)+IF(E9&gt;=2,파라미터!$B$11,0)+IF(E9&gt;=3,파라미터!$B$12,0))-파라미터!$B$15))*파라미터!$B$16-E9*파라미터!$B$7-MAX(0,파라미터!$B$19+파라미터!$B$20-MIN(파라미터!$B$15,파라미터!$B$5*(IF(E9&gt;=1,파라미터!$B$10,0)+IF(E9&gt;=2,파라미터!$B$11,0)+IF(E9&gt;=3,파라미터!$B$12,0))))-IF(MOD($A9-1,파라미터!$B$22)=0,파라미터!$B$21,0)</f>
        <v/>
      </c>
      <c r="G9" s="15">
        <f>MAX(0,G8+F9)</f>
        <v/>
      </c>
      <c r="H9" s="14">
        <f>IF(OR($A9&lt;파라미터!$B$6,MOD($A9,파라미터!$B$6)&gt;=3),0,INT((3-MOD($A9,파라미터!$B$6)-1)/파라미터!$B$6)+1)</f>
        <v/>
      </c>
      <c r="I9" s="15">
        <f>((H9*파라미터!$B$5-파라미터!$B$5*(IF(H9&gt;=1,파라미터!$B$10,0)+IF(H9&gt;=2,파라미터!$B$11,0)+IF(H9&gt;=3,파라미터!$B$12,0)))+MAX(0,파라미터!$B$5*(IF(H9&gt;=1,파라미터!$B$10,0)+IF(H9&gt;=2,파라미터!$B$11,0)+IF(H9&gt;=3,파라미터!$B$12,0))-파라미터!$B$15))*파라미터!$B$16-H9*파라미터!$B$7-MAX(0,파라미터!$B$19+파라미터!$B$20-MIN(파라미터!$B$15,파라미터!$B$5*(IF(H9&gt;=1,파라미터!$B$10,0)+IF(H9&gt;=2,파라미터!$B$11,0)+IF(H9&gt;=3,파라미터!$B$12,0))))-IF(MOD($A9-1,파라미터!$B$22)=0,파라미터!$B$21,0)</f>
        <v/>
      </c>
      <c r="J9" s="15">
        <f>MAX(0,J8+I9)</f>
        <v/>
      </c>
      <c r="K9" s="14">
        <f>IF(OR($A9&lt;파라미터!$B$6,MOD($A9,파라미터!$B$6)&gt;=5),0,INT((5-MOD($A9,파라미터!$B$6)-1)/파라미터!$B$6)+1)</f>
        <v/>
      </c>
      <c r="L9" s="15">
        <f>((K9*파라미터!$B$5-파라미터!$B$5*(IF(K9&gt;=1,파라미터!$B$10,0)+IF(K9&gt;=2,파라미터!$B$11,0)+IF(K9&gt;=3,파라미터!$B$12,0)))+MAX(0,파라미터!$B$5*(IF(K9&gt;=1,파라미터!$B$10,0)+IF(K9&gt;=2,파라미터!$B$11,0)+IF(K9&gt;=3,파라미터!$B$12,0))-파라미터!$B$15))*파라미터!$B$16-K9*파라미터!$B$7-MAX(0,파라미터!$B$19+파라미터!$B$20-MIN(파라미터!$B$15,파라미터!$B$5*(IF(K9&gt;=1,파라미터!$B$10,0)+IF(K9&gt;=2,파라미터!$B$11,0)+IF(K9&gt;=3,파라미터!$B$12,0))))-IF(MOD($A9-1,파라미터!$B$22)=0,파라미터!$B$21,0)</f>
        <v/>
      </c>
      <c r="M9" s="15">
        <f>MAX(0,M8+L9)</f>
        <v/>
      </c>
      <c r="N9" s="14">
        <f>IF(OR($A9&lt;파라미터!$B$6,MOD($A9,파라미터!$B$6)&gt;=10),0,INT((10-MOD($A9,파라미터!$B$6)-1)/파라미터!$B$6)+1)</f>
        <v/>
      </c>
      <c r="O9" s="15">
        <f>((N9*파라미터!$B$5-파라미터!$B$5*(IF(N9&gt;=1,파라미터!$B$10,0)+IF(N9&gt;=2,파라미터!$B$11,0)+IF(N9&gt;=3,파라미터!$B$12,0)))+MAX(0,파라미터!$B$5*(IF(N9&gt;=1,파라미터!$B$10,0)+IF(N9&gt;=2,파라미터!$B$11,0)+IF(N9&gt;=3,파라미터!$B$12,0))-파라미터!$B$15))*파라미터!$B$16-N9*파라미터!$B$7-MAX(0,파라미터!$B$19+파라미터!$B$20-MIN(파라미터!$B$15,파라미터!$B$5*(IF(N9&gt;=1,파라미터!$B$10,0)+IF(N9&gt;=2,파라미터!$B$11,0)+IF(N9&gt;=3,파라미터!$B$12,0))))-IF(MOD($A9-1,파라미터!$B$22)=0,파라미터!$B$21,0)</f>
        <v/>
      </c>
      <c r="P9" s="15">
        <f>MAX(0,P8+O9)</f>
        <v/>
      </c>
      <c r="Q9" s="14">
        <f>IF(OR($A9&lt;파라미터!$B$6,MOD($A9,파라미터!$B$6)&gt;=20),0,INT((20-MOD($A9,파라미터!$B$6)-1)/파라미터!$B$6)+1)</f>
        <v/>
      </c>
      <c r="R9" s="15">
        <f>((Q9*파라미터!$B$5-파라미터!$B$5*(IF(Q9&gt;=1,파라미터!$B$10,0)+IF(Q9&gt;=2,파라미터!$B$11,0)+IF(Q9&gt;=3,파라미터!$B$12,0)))+MAX(0,파라미터!$B$5*(IF(Q9&gt;=1,파라미터!$B$10,0)+IF(Q9&gt;=2,파라미터!$B$11,0)+IF(Q9&gt;=3,파라미터!$B$12,0))-파라미터!$B$15))*파라미터!$B$16-Q9*파라미터!$B$7-MAX(0,파라미터!$B$19+파라미터!$B$20-MIN(파라미터!$B$15,파라미터!$B$5*(IF(Q9&gt;=1,파라미터!$B$10,0)+IF(Q9&gt;=2,파라미터!$B$11,0)+IF(Q9&gt;=3,파라미터!$B$12,0))))-IF(MOD($A9-1,파라미터!$B$22)=0,파라미터!$B$21,0)</f>
        <v/>
      </c>
      <c r="S9" s="15">
        <f>MAX(0,S8+R9)</f>
        <v/>
      </c>
    </row>
    <row r="10">
      <c r="A10" s="13" t="n">
        <v>6</v>
      </c>
      <c r="B10" s="14">
        <f>IF(OR($A10&lt;파라미터!$B$6,MOD($A10,파라미터!$B$6)&gt;=1),0,INT((1-MOD($A10,파라미터!$B$6)-1)/파라미터!$B$6)+1)</f>
        <v/>
      </c>
      <c r="C10" s="15">
        <f>((B10*파라미터!$B$5-파라미터!$B$5*(IF(B10&gt;=1,파라미터!$B$10,0)+IF(B10&gt;=2,파라미터!$B$11,0)+IF(B10&gt;=3,파라미터!$B$12,0)))+MAX(0,파라미터!$B$5*(IF(B10&gt;=1,파라미터!$B$10,0)+IF(B10&gt;=2,파라미터!$B$11,0)+IF(B10&gt;=3,파라미터!$B$12,0))-파라미터!$B$15))*파라미터!$B$16-B10*파라미터!$B$7-MAX(0,파라미터!$B$19+파라미터!$B$20-MIN(파라미터!$B$15,파라미터!$B$5*(IF(B10&gt;=1,파라미터!$B$10,0)+IF(B10&gt;=2,파라미터!$B$11,0)+IF(B10&gt;=3,파라미터!$B$12,0))))-IF(MOD($A10-1,파라미터!$B$22)=0,파라미터!$B$21,0)</f>
        <v/>
      </c>
      <c r="D10" s="15">
        <f>MAX(0,D9+C10)</f>
        <v/>
      </c>
      <c r="E10" s="14">
        <f>IF(OR($A10&lt;파라미터!$B$6,MOD($A10,파라미터!$B$6)&gt;=2),0,INT((2-MOD($A10,파라미터!$B$6)-1)/파라미터!$B$6)+1)</f>
        <v/>
      </c>
      <c r="F10" s="15">
        <f>((E10*파라미터!$B$5-파라미터!$B$5*(IF(E10&gt;=1,파라미터!$B$10,0)+IF(E10&gt;=2,파라미터!$B$11,0)+IF(E10&gt;=3,파라미터!$B$12,0)))+MAX(0,파라미터!$B$5*(IF(E10&gt;=1,파라미터!$B$10,0)+IF(E10&gt;=2,파라미터!$B$11,0)+IF(E10&gt;=3,파라미터!$B$12,0))-파라미터!$B$15))*파라미터!$B$16-E10*파라미터!$B$7-MAX(0,파라미터!$B$19+파라미터!$B$20-MIN(파라미터!$B$15,파라미터!$B$5*(IF(E10&gt;=1,파라미터!$B$10,0)+IF(E10&gt;=2,파라미터!$B$11,0)+IF(E10&gt;=3,파라미터!$B$12,0))))-IF(MOD($A10-1,파라미터!$B$22)=0,파라미터!$B$21,0)</f>
        <v/>
      </c>
      <c r="G10" s="15">
        <f>MAX(0,G9+F10)</f>
        <v/>
      </c>
      <c r="H10" s="14">
        <f>IF(OR($A10&lt;파라미터!$B$6,MOD($A10,파라미터!$B$6)&gt;=3),0,INT((3-MOD($A10,파라미터!$B$6)-1)/파라미터!$B$6)+1)</f>
        <v/>
      </c>
      <c r="I10" s="15">
        <f>((H10*파라미터!$B$5-파라미터!$B$5*(IF(H10&gt;=1,파라미터!$B$10,0)+IF(H10&gt;=2,파라미터!$B$11,0)+IF(H10&gt;=3,파라미터!$B$12,0)))+MAX(0,파라미터!$B$5*(IF(H10&gt;=1,파라미터!$B$10,0)+IF(H10&gt;=2,파라미터!$B$11,0)+IF(H10&gt;=3,파라미터!$B$12,0))-파라미터!$B$15))*파라미터!$B$16-H10*파라미터!$B$7-MAX(0,파라미터!$B$19+파라미터!$B$20-MIN(파라미터!$B$15,파라미터!$B$5*(IF(H10&gt;=1,파라미터!$B$10,0)+IF(H10&gt;=2,파라미터!$B$11,0)+IF(H10&gt;=3,파라미터!$B$12,0))))-IF(MOD($A10-1,파라미터!$B$22)=0,파라미터!$B$21,0)</f>
        <v/>
      </c>
      <c r="J10" s="15">
        <f>MAX(0,J9+I10)</f>
        <v/>
      </c>
      <c r="K10" s="14">
        <f>IF(OR($A10&lt;파라미터!$B$6,MOD($A10,파라미터!$B$6)&gt;=5),0,INT((5-MOD($A10,파라미터!$B$6)-1)/파라미터!$B$6)+1)</f>
        <v/>
      </c>
      <c r="L10" s="15">
        <f>((K10*파라미터!$B$5-파라미터!$B$5*(IF(K10&gt;=1,파라미터!$B$10,0)+IF(K10&gt;=2,파라미터!$B$11,0)+IF(K10&gt;=3,파라미터!$B$12,0)))+MAX(0,파라미터!$B$5*(IF(K10&gt;=1,파라미터!$B$10,0)+IF(K10&gt;=2,파라미터!$B$11,0)+IF(K10&gt;=3,파라미터!$B$12,0))-파라미터!$B$15))*파라미터!$B$16-K10*파라미터!$B$7-MAX(0,파라미터!$B$19+파라미터!$B$20-MIN(파라미터!$B$15,파라미터!$B$5*(IF(K10&gt;=1,파라미터!$B$10,0)+IF(K10&gt;=2,파라미터!$B$11,0)+IF(K10&gt;=3,파라미터!$B$12,0))))-IF(MOD($A10-1,파라미터!$B$22)=0,파라미터!$B$21,0)</f>
        <v/>
      </c>
      <c r="M10" s="15">
        <f>MAX(0,M9+L10)</f>
        <v/>
      </c>
      <c r="N10" s="14">
        <f>IF(OR($A10&lt;파라미터!$B$6,MOD($A10,파라미터!$B$6)&gt;=10),0,INT((10-MOD($A10,파라미터!$B$6)-1)/파라미터!$B$6)+1)</f>
        <v/>
      </c>
      <c r="O10" s="15">
        <f>((N10*파라미터!$B$5-파라미터!$B$5*(IF(N10&gt;=1,파라미터!$B$10,0)+IF(N10&gt;=2,파라미터!$B$11,0)+IF(N10&gt;=3,파라미터!$B$12,0)))+MAX(0,파라미터!$B$5*(IF(N10&gt;=1,파라미터!$B$10,0)+IF(N10&gt;=2,파라미터!$B$11,0)+IF(N10&gt;=3,파라미터!$B$12,0))-파라미터!$B$15))*파라미터!$B$16-N10*파라미터!$B$7-MAX(0,파라미터!$B$19+파라미터!$B$20-MIN(파라미터!$B$15,파라미터!$B$5*(IF(N10&gt;=1,파라미터!$B$10,0)+IF(N10&gt;=2,파라미터!$B$11,0)+IF(N10&gt;=3,파라미터!$B$12,0))))-IF(MOD($A10-1,파라미터!$B$22)=0,파라미터!$B$21,0)</f>
        <v/>
      </c>
      <c r="P10" s="15">
        <f>MAX(0,P9+O10)</f>
        <v/>
      </c>
      <c r="Q10" s="14">
        <f>IF(OR($A10&lt;파라미터!$B$6,MOD($A10,파라미터!$B$6)&gt;=20),0,INT((20-MOD($A10,파라미터!$B$6)-1)/파라미터!$B$6)+1)</f>
        <v/>
      </c>
      <c r="R10" s="15">
        <f>((Q10*파라미터!$B$5-파라미터!$B$5*(IF(Q10&gt;=1,파라미터!$B$10,0)+IF(Q10&gt;=2,파라미터!$B$11,0)+IF(Q10&gt;=3,파라미터!$B$12,0)))+MAX(0,파라미터!$B$5*(IF(Q10&gt;=1,파라미터!$B$10,0)+IF(Q10&gt;=2,파라미터!$B$11,0)+IF(Q10&gt;=3,파라미터!$B$12,0))-파라미터!$B$15))*파라미터!$B$16-Q10*파라미터!$B$7-MAX(0,파라미터!$B$19+파라미터!$B$20-MIN(파라미터!$B$15,파라미터!$B$5*(IF(Q10&gt;=1,파라미터!$B$10,0)+IF(Q10&gt;=2,파라미터!$B$11,0)+IF(Q10&gt;=3,파라미터!$B$12,0))))-IF(MOD($A10-1,파라미터!$B$22)=0,파라미터!$B$21,0)</f>
        <v/>
      </c>
      <c r="S10" s="15">
        <f>MAX(0,S9+R10)</f>
        <v/>
      </c>
    </row>
    <row r="11">
      <c r="A11" s="13" t="n">
        <v>7</v>
      </c>
      <c r="B11" s="14">
        <f>IF(OR($A11&lt;파라미터!$B$6,MOD($A11,파라미터!$B$6)&gt;=1),0,INT((1-MOD($A11,파라미터!$B$6)-1)/파라미터!$B$6)+1)</f>
        <v/>
      </c>
      <c r="C11" s="15">
        <f>((B11*파라미터!$B$5-파라미터!$B$5*(IF(B11&gt;=1,파라미터!$B$10,0)+IF(B11&gt;=2,파라미터!$B$11,0)+IF(B11&gt;=3,파라미터!$B$12,0)))+MAX(0,파라미터!$B$5*(IF(B11&gt;=1,파라미터!$B$10,0)+IF(B11&gt;=2,파라미터!$B$11,0)+IF(B11&gt;=3,파라미터!$B$12,0))-파라미터!$B$15))*파라미터!$B$16-B11*파라미터!$B$7-MAX(0,파라미터!$B$19+파라미터!$B$20-MIN(파라미터!$B$15,파라미터!$B$5*(IF(B11&gt;=1,파라미터!$B$10,0)+IF(B11&gt;=2,파라미터!$B$11,0)+IF(B11&gt;=3,파라미터!$B$12,0))))-IF(MOD($A11-1,파라미터!$B$22)=0,파라미터!$B$21,0)</f>
        <v/>
      </c>
      <c r="D11" s="15">
        <f>MAX(0,D10+C11)</f>
        <v/>
      </c>
      <c r="E11" s="14">
        <f>IF(OR($A11&lt;파라미터!$B$6,MOD($A11,파라미터!$B$6)&gt;=2),0,INT((2-MOD($A11,파라미터!$B$6)-1)/파라미터!$B$6)+1)</f>
        <v/>
      </c>
      <c r="F11" s="15">
        <f>((E11*파라미터!$B$5-파라미터!$B$5*(IF(E11&gt;=1,파라미터!$B$10,0)+IF(E11&gt;=2,파라미터!$B$11,0)+IF(E11&gt;=3,파라미터!$B$12,0)))+MAX(0,파라미터!$B$5*(IF(E11&gt;=1,파라미터!$B$10,0)+IF(E11&gt;=2,파라미터!$B$11,0)+IF(E11&gt;=3,파라미터!$B$12,0))-파라미터!$B$15))*파라미터!$B$16-E11*파라미터!$B$7-MAX(0,파라미터!$B$19+파라미터!$B$20-MIN(파라미터!$B$15,파라미터!$B$5*(IF(E11&gt;=1,파라미터!$B$10,0)+IF(E11&gt;=2,파라미터!$B$11,0)+IF(E11&gt;=3,파라미터!$B$12,0))))-IF(MOD($A11-1,파라미터!$B$22)=0,파라미터!$B$21,0)</f>
        <v/>
      </c>
      <c r="G11" s="15">
        <f>MAX(0,G10+F11)</f>
        <v/>
      </c>
      <c r="H11" s="14">
        <f>IF(OR($A11&lt;파라미터!$B$6,MOD($A11,파라미터!$B$6)&gt;=3),0,INT((3-MOD($A11,파라미터!$B$6)-1)/파라미터!$B$6)+1)</f>
        <v/>
      </c>
      <c r="I11" s="15">
        <f>((H11*파라미터!$B$5-파라미터!$B$5*(IF(H11&gt;=1,파라미터!$B$10,0)+IF(H11&gt;=2,파라미터!$B$11,0)+IF(H11&gt;=3,파라미터!$B$12,0)))+MAX(0,파라미터!$B$5*(IF(H11&gt;=1,파라미터!$B$10,0)+IF(H11&gt;=2,파라미터!$B$11,0)+IF(H11&gt;=3,파라미터!$B$12,0))-파라미터!$B$15))*파라미터!$B$16-H11*파라미터!$B$7-MAX(0,파라미터!$B$19+파라미터!$B$20-MIN(파라미터!$B$15,파라미터!$B$5*(IF(H11&gt;=1,파라미터!$B$10,0)+IF(H11&gt;=2,파라미터!$B$11,0)+IF(H11&gt;=3,파라미터!$B$12,0))))-IF(MOD($A11-1,파라미터!$B$22)=0,파라미터!$B$21,0)</f>
        <v/>
      </c>
      <c r="J11" s="15">
        <f>MAX(0,J10+I11)</f>
        <v/>
      </c>
      <c r="K11" s="14">
        <f>IF(OR($A11&lt;파라미터!$B$6,MOD($A11,파라미터!$B$6)&gt;=5),0,INT((5-MOD($A11,파라미터!$B$6)-1)/파라미터!$B$6)+1)</f>
        <v/>
      </c>
      <c r="L11" s="15">
        <f>((K11*파라미터!$B$5-파라미터!$B$5*(IF(K11&gt;=1,파라미터!$B$10,0)+IF(K11&gt;=2,파라미터!$B$11,0)+IF(K11&gt;=3,파라미터!$B$12,0)))+MAX(0,파라미터!$B$5*(IF(K11&gt;=1,파라미터!$B$10,0)+IF(K11&gt;=2,파라미터!$B$11,0)+IF(K11&gt;=3,파라미터!$B$12,0))-파라미터!$B$15))*파라미터!$B$16-K11*파라미터!$B$7-MAX(0,파라미터!$B$19+파라미터!$B$20-MIN(파라미터!$B$15,파라미터!$B$5*(IF(K11&gt;=1,파라미터!$B$10,0)+IF(K11&gt;=2,파라미터!$B$11,0)+IF(K11&gt;=3,파라미터!$B$12,0))))-IF(MOD($A11-1,파라미터!$B$22)=0,파라미터!$B$21,0)</f>
        <v/>
      </c>
      <c r="M11" s="15">
        <f>MAX(0,M10+L11)</f>
        <v/>
      </c>
      <c r="N11" s="14">
        <f>IF(OR($A11&lt;파라미터!$B$6,MOD($A11,파라미터!$B$6)&gt;=10),0,INT((10-MOD($A11,파라미터!$B$6)-1)/파라미터!$B$6)+1)</f>
        <v/>
      </c>
      <c r="O11" s="15">
        <f>((N11*파라미터!$B$5-파라미터!$B$5*(IF(N11&gt;=1,파라미터!$B$10,0)+IF(N11&gt;=2,파라미터!$B$11,0)+IF(N11&gt;=3,파라미터!$B$12,0)))+MAX(0,파라미터!$B$5*(IF(N11&gt;=1,파라미터!$B$10,0)+IF(N11&gt;=2,파라미터!$B$11,0)+IF(N11&gt;=3,파라미터!$B$12,0))-파라미터!$B$15))*파라미터!$B$16-N11*파라미터!$B$7-MAX(0,파라미터!$B$19+파라미터!$B$20-MIN(파라미터!$B$15,파라미터!$B$5*(IF(N11&gt;=1,파라미터!$B$10,0)+IF(N11&gt;=2,파라미터!$B$11,0)+IF(N11&gt;=3,파라미터!$B$12,0))))-IF(MOD($A11-1,파라미터!$B$22)=0,파라미터!$B$21,0)</f>
        <v/>
      </c>
      <c r="P11" s="15">
        <f>MAX(0,P10+O11)</f>
        <v/>
      </c>
      <c r="Q11" s="14">
        <f>IF(OR($A11&lt;파라미터!$B$6,MOD($A11,파라미터!$B$6)&gt;=20),0,INT((20-MOD($A11,파라미터!$B$6)-1)/파라미터!$B$6)+1)</f>
        <v/>
      </c>
      <c r="R11" s="15">
        <f>((Q11*파라미터!$B$5-파라미터!$B$5*(IF(Q11&gt;=1,파라미터!$B$10,0)+IF(Q11&gt;=2,파라미터!$B$11,0)+IF(Q11&gt;=3,파라미터!$B$12,0)))+MAX(0,파라미터!$B$5*(IF(Q11&gt;=1,파라미터!$B$10,0)+IF(Q11&gt;=2,파라미터!$B$11,0)+IF(Q11&gt;=3,파라미터!$B$12,0))-파라미터!$B$15))*파라미터!$B$16-Q11*파라미터!$B$7-MAX(0,파라미터!$B$19+파라미터!$B$20-MIN(파라미터!$B$15,파라미터!$B$5*(IF(Q11&gt;=1,파라미터!$B$10,0)+IF(Q11&gt;=2,파라미터!$B$11,0)+IF(Q11&gt;=3,파라미터!$B$12,0))))-IF(MOD($A11-1,파라미터!$B$22)=0,파라미터!$B$21,0)</f>
        <v/>
      </c>
      <c r="S11" s="15">
        <f>MAX(0,S10+R11)</f>
        <v/>
      </c>
    </row>
    <row r="12">
      <c r="A12" s="13" t="n">
        <v>8</v>
      </c>
      <c r="B12" s="14">
        <f>IF(OR($A12&lt;파라미터!$B$6,MOD($A12,파라미터!$B$6)&gt;=1),0,INT((1-MOD($A12,파라미터!$B$6)-1)/파라미터!$B$6)+1)</f>
        <v/>
      </c>
      <c r="C12" s="15">
        <f>((B12*파라미터!$B$5-파라미터!$B$5*(IF(B12&gt;=1,파라미터!$B$10,0)+IF(B12&gt;=2,파라미터!$B$11,0)+IF(B12&gt;=3,파라미터!$B$12,0)))+MAX(0,파라미터!$B$5*(IF(B12&gt;=1,파라미터!$B$10,0)+IF(B12&gt;=2,파라미터!$B$11,0)+IF(B12&gt;=3,파라미터!$B$12,0))-파라미터!$B$15))*파라미터!$B$16-B12*파라미터!$B$7-MAX(0,파라미터!$B$19+파라미터!$B$20-MIN(파라미터!$B$15,파라미터!$B$5*(IF(B12&gt;=1,파라미터!$B$10,0)+IF(B12&gt;=2,파라미터!$B$11,0)+IF(B12&gt;=3,파라미터!$B$12,0))))-IF(MOD($A12-1,파라미터!$B$22)=0,파라미터!$B$21,0)</f>
        <v/>
      </c>
      <c r="D12" s="15">
        <f>MAX(0,D11+C12)</f>
        <v/>
      </c>
      <c r="E12" s="14">
        <f>IF(OR($A12&lt;파라미터!$B$6,MOD($A12,파라미터!$B$6)&gt;=2),0,INT((2-MOD($A12,파라미터!$B$6)-1)/파라미터!$B$6)+1)</f>
        <v/>
      </c>
      <c r="F12" s="15">
        <f>((E12*파라미터!$B$5-파라미터!$B$5*(IF(E12&gt;=1,파라미터!$B$10,0)+IF(E12&gt;=2,파라미터!$B$11,0)+IF(E12&gt;=3,파라미터!$B$12,0)))+MAX(0,파라미터!$B$5*(IF(E12&gt;=1,파라미터!$B$10,0)+IF(E12&gt;=2,파라미터!$B$11,0)+IF(E12&gt;=3,파라미터!$B$12,0))-파라미터!$B$15))*파라미터!$B$16-E12*파라미터!$B$7-MAX(0,파라미터!$B$19+파라미터!$B$20-MIN(파라미터!$B$15,파라미터!$B$5*(IF(E12&gt;=1,파라미터!$B$10,0)+IF(E12&gt;=2,파라미터!$B$11,0)+IF(E12&gt;=3,파라미터!$B$12,0))))-IF(MOD($A12-1,파라미터!$B$22)=0,파라미터!$B$21,0)</f>
        <v/>
      </c>
      <c r="G12" s="15">
        <f>MAX(0,G11+F12)</f>
        <v/>
      </c>
      <c r="H12" s="14">
        <f>IF(OR($A12&lt;파라미터!$B$6,MOD($A12,파라미터!$B$6)&gt;=3),0,INT((3-MOD($A12,파라미터!$B$6)-1)/파라미터!$B$6)+1)</f>
        <v/>
      </c>
      <c r="I12" s="15">
        <f>((H12*파라미터!$B$5-파라미터!$B$5*(IF(H12&gt;=1,파라미터!$B$10,0)+IF(H12&gt;=2,파라미터!$B$11,0)+IF(H12&gt;=3,파라미터!$B$12,0)))+MAX(0,파라미터!$B$5*(IF(H12&gt;=1,파라미터!$B$10,0)+IF(H12&gt;=2,파라미터!$B$11,0)+IF(H12&gt;=3,파라미터!$B$12,0))-파라미터!$B$15))*파라미터!$B$16-H12*파라미터!$B$7-MAX(0,파라미터!$B$19+파라미터!$B$20-MIN(파라미터!$B$15,파라미터!$B$5*(IF(H12&gt;=1,파라미터!$B$10,0)+IF(H12&gt;=2,파라미터!$B$11,0)+IF(H12&gt;=3,파라미터!$B$12,0))))-IF(MOD($A12-1,파라미터!$B$22)=0,파라미터!$B$21,0)</f>
        <v/>
      </c>
      <c r="J12" s="15">
        <f>MAX(0,J11+I12)</f>
        <v/>
      </c>
      <c r="K12" s="14">
        <f>IF(OR($A12&lt;파라미터!$B$6,MOD($A12,파라미터!$B$6)&gt;=5),0,INT((5-MOD($A12,파라미터!$B$6)-1)/파라미터!$B$6)+1)</f>
        <v/>
      </c>
      <c r="L12" s="15">
        <f>((K12*파라미터!$B$5-파라미터!$B$5*(IF(K12&gt;=1,파라미터!$B$10,0)+IF(K12&gt;=2,파라미터!$B$11,0)+IF(K12&gt;=3,파라미터!$B$12,0)))+MAX(0,파라미터!$B$5*(IF(K12&gt;=1,파라미터!$B$10,0)+IF(K12&gt;=2,파라미터!$B$11,0)+IF(K12&gt;=3,파라미터!$B$12,0))-파라미터!$B$15))*파라미터!$B$16-K12*파라미터!$B$7-MAX(0,파라미터!$B$19+파라미터!$B$20-MIN(파라미터!$B$15,파라미터!$B$5*(IF(K12&gt;=1,파라미터!$B$10,0)+IF(K12&gt;=2,파라미터!$B$11,0)+IF(K12&gt;=3,파라미터!$B$12,0))))-IF(MOD($A12-1,파라미터!$B$22)=0,파라미터!$B$21,0)</f>
        <v/>
      </c>
      <c r="M12" s="15">
        <f>MAX(0,M11+L12)</f>
        <v/>
      </c>
      <c r="N12" s="14">
        <f>IF(OR($A12&lt;파라미터!$B$6,MOD($A12,파라미터!$B$6)&gt;=10),0,INT((10-MOD($A12,파라미터!$B$6)-1)/파라미터!$B$6)+1)</f>
        <v/>
      </c>
      <c r="O12" s="15">
        <f>((N12*파라미터!$B$5-파라미터!$B$5*(IF(N12&gt;=1,파라미터!$B$10,0)+IF(N12&gt;=2,파라미터!$B$11,0)+IF(N12&gt;=3,파라미터!$B$12,0)))+MAX(0,파라미터!$B$5*(IF(N12&gt;=1,파라미터!$B$10,0)+IF(N12&gt;=2,파라미터!$B$11,0)+IF(N12&gt;=3,파라미터!$B$12,0))-파라미터!$B$15))*파라미터!$B$16-N12*파라미터!$B$7-MAX(0,파라미터!$B$19+파라미터!$B$20-MIN(파라미터!$B$15,파라미터!$B$5*(IF(N12&gt;=1,파라미터!$B$10,0)+IF(N12&gt;=2,파라미터!$B$11,0)+IF(N12&gt;=3,파라미터!$B$12,0))))-IF(MOD($A12-1,파라미터!$B$22)=0,파라미터!$B$21,0)</f>
        <v/>
      </c>
      <c r="P12" s="15">
        <f>MAX(0,P11+O12)</f>
        <v/>
      </c>
      <c r="Q12" s="14">
        <f>IF(OR($A12&lt;파라미터!$B$6,MOD($A12,파라미터!$B$6)&gt;=20),0,INT((20-MOD($A12,파라미터!$B$6)-1)/파라미터!$B$6)+1)</f>
        <v/>
      </c>
      <c r="R12" s="15">
        <f>((Q12*파라미터!$B$5-파라미터!$B$5*(IF(Q12&gt;=1,파라미터!$B$10,0)+IF(Q12&gt;=2,파라미터!$B$11,0)+IF(Q12&gt;=3,파라미터!$B$12,0)))+MAX(0,파라미터!$B$5*(IF(Q12&gt;=1,파라미터!$B$10,0)+IF(Q12&gt;=2,파라미터!$B$11,0)+IF(Q12&gt;=3,파라미터!$B$12,0))-파라미터!$B$15))*파라미터!$B$16-Q12*파라미터!$B$7-MAX(0,파라미터!$B$19+파라미터!$B$20-MIN(파라미터!$B$15,파라미터!$B$5*(IF(Q12&gt;=1,파라미터!$B$10,0)+IF(Q12&gt;=2,파라미터!$B$11,0)+IF(Q12&gt;=3,파라미터!$B$12,0))))-IF(MOD($A12-1,파라미터!$B$22)=0,파라미터!$B$21,0)</f>
        <v/>
      </c>
      <c r="S12" s="15">
        <f>MAX(0,S11+R12)</f>
        <v/>
      </c>
    </row>
    <row r="13">
      <c r="A13" s="13" t="n">
        <v>9</v>
      </c>
      <c r="B13" s="14">
        <f>IF(OR($A13&lt;파라미터!$B$6,MOD($A13,파라미터!$B$6)&gt;=1),0,INT((1-MOD($A13,파라미터!$B$6)-1)/파라미터!$B$6)+1)</f>
        <v/>
      </c>
      <c r="C13" s="15">
        <f>((B13*파라미터!$B$5-파라미터!$B$5*(IF(B13&gt;=1,파라미터!$B$10,0)+IF(B13&gt;=2,파라미터!$B$11,0)+IF(B13&gt;=3,파라미터!$B$12,0)))+MAX(0,파라미터!$B$5*(IF(B13&gt;=1,파라미터!$B$10,0)+IF(B13&gt;=2,파라미터!$B$11,0)+IF(B13&gt;=3,파라미터!$B$12,0))-파라미터!$B$15))*파라미터!$B$16-B13*파라미터!$B$7-MAX(0,파라미터!$B$19+파라미터!$B$20-MIN(파라미터!$B$15,파라미터!$B$5*(IF(B13&gt;=1,파라미터!$B$10,0)+IF(B13&gt;=2,파라미터!$B$11,0)+IF(B13&gt;=3,파라미터!$B$12,0))))-IF(MOD($A13-1,파라미터!$B$22)=0,파라미터!$B$21,0)</f>
        <v/>
      </c>
      <c r="D13" s="15">
        <f>MAX(0,D12+C13)</f>
        <v/>
      </c>
      <c r="E13" s="14">
        <f>IF(OR($A13&lt;파라미터!$B$6,MOD($A13,파라미터!$B$6)&gt;=2),0,INT((2-MOD($A13,파라미터!$B$6)-1)/파라미터!$B$6)+1)</f>
        <v/>
      </c>
      <c r="F13" s="15">
        <f>((E13*파라미터!$B$5-파라미터!$B$5*(IF(E13&gt;=1,파라미터!$B$10,0)+IF(E13&gt;=2,파라미터!$B$11,0)+IF(E13&gt;=3,파라미터!$B$12,0)))+MAX(0,파라미터!$B$5*(IF(E13&gt;=1,파라미터!$B$10,0)+IF(E13&gt;=2,파라미터!$B$11,0)+IF(E13&gt;=3,파라미터!$B$12,0))-파라미터!$B$15))*파라미터!$B$16-E13*파라미터!$B$7-MAX(0,파라미터!$B$19+파라미터!$B$20-MIN(파라미터!$B$15,파라미터!$B$5*(IF(E13&gt;=1,파라미터!$B$10,0)+IF(E13&gt;=2,파라미터!$B$11,0)+IF(E13&gt;=3,파라미터!$B$12,0))))-IF(MOD($A13-1,파라미터!$B$22)=0,파라미터!$B$21,0)</f>
        <v/>
      </c>
      <c r="G13" s="15">
        <f>MAX(0,G12+F13)</f>
        <v/>
      </c>
      <c r="H13" s="14">
        <f>IF(OR($A13&lt;파라미터!$B$6,MOD($A13,파라미터!$B$6)&gt;=3),0,INT((3-MOD($A13,파라미터!$B$6)-1)/파라미터!$B$6)+1)</f>
        <v/>
      </c>
      <c r="I13" s="15">
        <f>((H13*파라미터!$B$5-파라미터!$B$5*(IF(H13&gt;=1,파라미터!$B$10,0)+IF(H13&gt;=2,파라미터!$B$11,0)+IF(H13&gt;=3,파라미터!$B$12,0)))+MAX(0,파라미터!$B$5*(IF(H13&gt;=1,파라미터!$B$10,0)+IF(H13&gt;=2,파라미터!$B$11,0)+IF(H13&gt;=3,파라미터!$B$12,0))-파라미터!$B$15))*파라미터!$B$16-H13*파라미터!$B$7-MAX(0,파라미터!$B$19+파라미터!$B$20-MIN(파라미터!$B$15,파라미터!$B$5*(IF(H13&gt;=1,파라미터!$B$10,0)+IF(H13&gt;=2,파라미터!$B$11,0)+IF(H13&gt;=3,파라미터!$B$12,0))))-IF(MOD($A13-1,파라미터!$B$22)=0,파라미터!$B$21,0)</f>
        <v/>
      </c>
      <c r="J13" s="15">
        <f>MAX(0,J12+I13)</f>
        <v/>
      </c>
      <c r="K13" s="14">
        <f>IF(OR($A13&lt;파라미터!$B$6,MOD($A13,파라미터!$B$6)&gt;=5),0,INT((5-MOD($A13,파라미터!$B$6)-1)/파라미터!$B$6)+1)</f>
        <v/>
      </c>
      <c r="L13" s="15">
        <f>((K13*파라미터!$B$5-파라미터!$B$5*(IF(K13&gt;=1,파라미터!$B$10,0)+IF(K13&gt;=2,파라미터!$B$11,0)+IF(K13&gt;=3,파라미터!$B$12,0)))+MAX(0,파라미터!$B$5*(IF(K13&gt;=1,파라미터!$B$10,0)+IF(K13&gt;=2,파라미터!$B$11,0)+IF(K13&gt;=3,파라미터!$B$12,0))-파라미터!$B$15))*파라미터!$B$16-K13*파라미터!$B$7-MAX(0,파라미터!$B$19+파라미터!$B$20-MIN(파라미터!$B$15,파라미터!$B$5*(IF(K13&gt;=1,파라미터!$B$10,0)+IF(K13&gt;=2,파라미터!$B$11,0)+IF(K13&gt;=3,파라미터!$B$12,0))))-IF(MOD($A13-1,파라미터!$B$22)=0,파라미터!$B$21,0)</f>
        <v/>
      </c>
      <c r="M13" s="15">
        <f>MAX(0,M12+L13)</f>
        <v/>
      </c>
      <c r="N13" s="14">
        <f>IF(OR($A13&lt;파라미터!$B$6,MOD($A13,파라미터!$B$6)&gt;=10),0,INT((10-MOD($A13,파라미터!$B$6)-1)/파라미터!$B$6)+1)</f>
        <v/>
      </c>
      <c r="O13" s="15">
        <f>((N13*파라미터!$B$5-파라미터!$B$5*(IF(N13&gt;=1,파라미터!$B$10,0)+IF(N13&gt;=2,파라미터!$B$11,0)+IF(N13&gt;=3,파라미터!$B$12,0)))+MAX(0,파라미터!$B$5*(IF(N13&gt;=1,파라미터!$B$10,0)+IF(N13&gt;=2,파라미터!$B$11,0)+IF(N13&gt;=3,파라미터!$B$12,0))-파라미터!$B$15))*파라미터!$B$16-N13*파라미터!$B$7-MAX(0,파라미터!$B$19+파라미터!$B$20-MIN(파라미터!$B$15,파라미터!$B$5*(IF(N13&gt;=1,파라미터!$B$10,0)+IF(N13&gt;=2,파라미터!$B$11,0)+IF(N13&gt;=3,파라미터!$B$12,0))))-IF(MOD($A13-1,파라미터!$B$22)=0,파라미터!$B$21,0)</f>
        <v/>
      </c>
      <c r="P13" s="15">
        <f>MAX(0,P12+O13)</f>
        <v/>
      </c>
      <c r="Q13" s="14">
        <f>IF(OR($A13&lt;파라미터!$B$6,MOD($A13,파라미터!$B$6)&gt;=20),0,INT((20-MOD($A13,파라미터!$B$6)-1)/파라미터!$B$6)+1)</f>
        <v/>
      </c>
      <c r="R13" s="15">
        <f>((Q13*파라미터!$B$5-파라미터!$B$5*(IF(Q13&gt;=1,파라미터!$B$10,0)+IF(Q13&gt;=2,파라미터!$B$11,0)+IF(Q13&gt;=3,파라미터!$B$12,0)))+MAX(0,파라미터!$B$5*(IF(Q13&gt;=1,파라미터!$B$10,0)+IF(Q13&gt;=2,파라미터!$B$11,0)+IF(Q13&gt;=3,파라미터!$B$12,0))-파라미터!$B$15))*파라미터!$B$16-Q13*파라미터!$B$7-MAX(0,파라미터!$B$19+파라미터!$B$20-MIN(파라미터!$B$15,파라미터!$B$5*(IF(Q13&gt;=1,파라미터!$B$10,0)+IF(Q13&gt;=2,파라미터!$B$11,0)+IF(Q13&gt;=3,파라미터!$B$12,0))))-IF(MOD($A13-1,파라미터!$B$22)=0,파라미터!$B$21,0)</f>
        <v/>
      </c>
      <c r="S13" s="15">
        <f>MAX(0,S12+R13)</f>
        <v/>
      </c>
    </row>
    <row r="14">
      <c r="A14" s="13" t="n">
        <v>10</v>
      </c>
      <c r="B14" s="14">
        <f>IF(OR($A14&lt;파라미터!$B$6,MOD($A14,파라미터!$B$6)&gt;=1),0,INT((1-MOD($A14,파라미터!$B$6)-1)/파라미터!$B$6)+1)</f>
        <v/>
      </c>
      <c r="C14" s="15">
        <f>((B14*파라미터!$B$5-파라미터!$B$5*(IF(B14&gt;=1,파라미터!$B$10,0)+IF(B14&gt;=2,파라미터!$B$11,0)+IF(B14&gt;=3,파라미터!$B$12,0)))+MAX(0,파라미터!$B$5*(IF(B14&gt;=1,파라미터!$B$10,0)+IF(B14&gt;=2,파라미터!$B$11,0)+IF(B14&gt;=3,파라미터!$B$12,0))-파라미터!$B$15))*파라미터!$B$16-B14*파라미터!$B$7-MAX(0,파라미터!$B$19+파라미터!$B$20-MIN(파라미터!$B$15,파라미터!$B$5*(IF(B14&gt;=1,파라미터!$B$10,0)+IF(B14&gt;=2,파라미터!$B$11,0)+IF(B14&gt;=3,파라미터!$B$12,0))))-IF(MOD($A14-1,파라미터!$B$22)=0,파라미터!$B$21,0)</f>
        <v/>
      </c>
      <c r="D14" s="15">
        <f>MAX(0,D13+C14)</f>
        <v/>
      </c>
      <c r="E14" s="14">
        <f>IF(OR($A14&lt;파라미터!$B$6,MOD($A14,파라미터!$B$6)&gt;=2),0,INT((2-MOD($A14,파라미터!$B$6)-1)/파라미터!$B$6)+1)</f>
        <v/>
      </c>
      <c r="F14" s="15">
        <f>((E14*파라미터!$B$5-파라미터!$B$5*(IF(E14&gt;=1,파라미터!$B$10,0)+IF(E14&gt;=2,파라미터!$B$11,0)+IF(E14&gt;=3,파라미터!$B$12,0)))+MAX(0,파라미터!$B$5*(IF(E14&gt;=1,파라미터!$B$10,0)+IF(E14&gt;=2,파라미터!$B$11,0)+IF(E14&gt;=3,파라미터!$B$12,0))-파라미터!$B$15))*파라미터!$B$16-E14*파라미터!$B$7-MAX(0,파라미터!$B$19+파라미터!$B$20-MIN(파라미터!$B$15,파라미터!$B$5*(IF(E14&gt;=1,파라미터!$B$10,0)+IF(E14&gt;=2,파라미터!$B$11,0)+IF(E14&gt;=3,파라미터!$B$12,0))))-IF(MOD($A14-1,파라미터!$B$22)=0,파라미터!$B$21,0)</f>
        <v/>
      </c>
      <c r="G14" s="15">
        <f>MAX(0,G13+F14)</f>
        <v/>
      </c>
      <c r="H14" s="14">
        <f>IF(OR($A14&lt;파라미터!$B$6,MOD($A14,파라미터!$B$6)&gt;=3),0,INT((3-MOD($A14,파라미터!$B$6)-1)/파라미터!$B$6)+1)</f>
        <v/>
      </c>
      <c r="I14" s="15">
        <f>((H14*파라미터!$B$5-파라미터!$B$5*(IF(H14&gt;=1,파라미터!$B$10,0)+IF(H14&gt;=2,파라미터!$B$11,0)+IF(H14&gt;=3,파라미터!$B$12,0)))+MAX(0,파라미터!$B$5*(IF(H14&gt;=1,파라미터!$B$10,0)+IF(H14&gt;=2,파라미터!$B$11,0)+IF(H14&gt;=3,파라미터!$B$12,0))-파라미터!$B$15))*파라미터!$B$16-H14*파라미터!$B$7-MAX(0,파라미터!$B$19+파라미터!$B$20-MIN(파라미터!$B$15,파라미터!$B$5*(IF(H14&gt;=1,파라미터!$B$10,0)+IF(H14&gt;=2,파라미터!$B$11,0)+IF(H14&gt;=3,파라미터!$B$12,0))))-IF(MOD($A14-1,파라미터!$B$22)=0,파라미터!$B$21,0)</f>
        <v/>
      </c>
      <c r="J14" s="15">
        <f>MAX(0,J13+I14)</f>
        <v/>
      </c>
      <c r="K14" s="14">
        <f>IF(OR($A14&lt;파라미터!$B$6,MOD($A14,파라미터!$B$6)&gt;=5),0,INT((5-MOD($A14,파라미터!$B$6)-1)/파라미터!$B$6)+1)</f>
        <v/>
      </c>
      <c r="L14" s="15">
        <f>((K14*파라미터!$B$5-파라미터!$B$5*(IF(K14&gt;=1,파라미터!$B$10,0)+IF(K14&gt;=2,파라미터!$B$11,0)+IF(K14&gt;=3,파라미터!$B$12,0)))+MAX(0,파라미터!$B$5*(IF(K14&gt;=1,파라미터!$B$10,0)+IF(K14&gt;=2,파라미터!$B$11,0)+IF(K14&gt;=3,파라미터!$B$12,0))-파라미터!$B$15))*파라미터!$B$16-K14*파라미터!$B$7-MAX(0,파라미터!$B$19+파라미터!$B$20-MIN(파라미터!$B$15,파라미터!$B$5*(IF(K14&gt;=1,파라미터!$B$10,0)+IF(K14&gt;=2,파라미터!$B$11,0)+IF(K14&gt;=3,파라미터!$B$12,0))))-IF(MOD($A14-1,파라미터!$B$22)=0,파라미터!$B$21,0)</f>
        <v/>
      </c>
      <c r="M14" s="15">
        <f>MAX(0,M13+L14)</f>
        <v/>
      </c>
      <c r="N14" s="14">
        <f>IF(OR($A14&lt;파라미터!$B$6,MOD($A14,파라미터!$B$6)&gt;=10),0,INT((10-MOD($A14,파라미터!$B$6)-1)/파라미터!$B$6)+1)</f>
        <v/>
      </c>
      <c r="O14" s="15">
        <f>((N14*파라미터!$B$5-파라미터!$B$5*(IF(N14&gt;=1,파라미터!$B$10,0)+IF(N14&gt;=2,파라미터!$B$11,0)+IF(N14&gt;=3,파라미터!$B$12,0)))+MAX(0,파라미터!$B$5*(IF(N14&gt;=1,파라미터!$B$10,0)+IF(N14&gt;=2,파라미터!$B$11,0)+IF(N14&gt;=3,파라미터!$B$12,0))-파라미터!$B$15))*파라미터!$B$16-N14*파라미터!$B$7-MAX(0,파라미터!$B$19+파라미터!$B$20-MIN(파라미터!$B$15,파라미터!$B$5*(IF(N14&gt;=1,파라미터!$B$10,0)+IF(N14&gt;=2,파라미터!$B$11,0)+IF(N14&gt;=3,파라미터!$B$12,0))))-IF(MOD($A14-1,파라미터!$B$22)=0,파라미터!$B$21,0)</f>
        <v/>
      </c>
      <c r="P14" s="15">
        <f>MAX(0,P13+O14)</f>
        <v/>
      </c>
      <c r="Q14" s="14">
        <f>IF(OR($A14&lt;파라미터!$B$6,MOD($A14,파라미터!$B$6)&gt;=20),0,INT((20-MOD($A14,파라미터!$B$6)-1)/파라미터!$B$6)+1)</f>
        <v/>
      </c>
      <c r="R14" s="15">
        <f>((Q14*파라미터!$B$5-파라미터!$B$5*(IF(Q14&gt;=1,파라미터!$B$10,0)+IF(Q14&gt;=2,파라미터!$B$11,0)+IF(Q14&gt;=3,파라미터!$B$12,0)))+MAX(0,파라미터!$B$5*(IF(Q14&gt;=1,파라미터!$B$10,0)+IF(Q14&gt;=2,파라미터!$B$11,0)+IF(Q14&gt;=3,파라미터!$B$12,0))-파라미터!$B$15))*파라미터!$B$16-Q14*파라미터!$B$7-MAX(0,파라미터!$B$19+파라미터!$B$20-MIN(파라미터!$B$15,파라미터!$B$5*(IF(Q14&gt;=1,파라미터!$B$10,0)+IF(Q14&gt;=2,파라미터!$B$11,0)+IF(Q14&gt;=3,파라미터!$B$12,0))))-IF(MOD($A14-1,파라미터!$B$22)=0,파라미터!$B$21,0)</f>
        <v/>
      </c>
      <c r="S14" s="15">
        <f>MAX(0,S13+R14)</f>
        <v/>
      </c>
    </row>
    <row r="15">
      <c r="A15" s="13" t="n">
        <v>11</v>
      </c>
      <c r="B15" s="14">
        <f>IF(OR($A15&lt;파라미터!$B$6,MOD($A15,파라미터!$B$6)&gt;=1),0,INT((1-MOD($A15,파라미터!$B$6)-1)/파라미터!$B$6)+1)</f>
        <v/>
      </c>
      <c r="C15" s="15">
        <f>((B15*파라미터!$B$5-파라미터!$B$5*(IF(B15&gt;=1,파라미터!$B$10,0)+IF(B15&gt;=2,파라미터!$B$11,0)+IF(B15&gt;=3,파라미터!$B$12,0)))+MAX(0,파라미터!$B$5*(IF(B15&gt;=1,파라미터!$B$10,0)+IF(B15&gt;=2,파라미터!$B$11,0)+IF(B15&gt;=3,파라미터!$B$12,0))-파라미터!$B$15))*파라미터!$B$16-B15*파라미터!$B$7-MAX(0,파라미터!$B$19+파라미터!$B$20-MIN(파라미터!$B$15,파라미터!$B$5*(IF(B15&gt;=1,파라미터!$B$10,0)+IF(B15&gt;=2,파라미터!$B$11,0)+IF(B15&gt;=3,파라미터!$B$12,0))))-IF(MOD($A15-1,파라미터!$B$22)=0,파라미터!$B$21,0)</f>
        <v/>
      </c>
      <c r="D15" s="15">
        <f>MAX(0,D14+C15)</f>
        <v/>
      </c>
      <c r="E15" s="14">
        <f>IF(OR($A15&lt;파라미터!$B$6,MOD($A15,파라미터!$B$6)&gt;=2),0,INT((2-MOD($A15,파라미터!$B$6)-1)/파라미터!$B$6)+1)</f>
        <v/>
      </c>
      <c r="F15" s="15">
        <f>((E15*파라미터!$B$5-파라미터!$B$5*(IF(E15&gt;=1,파라미터!$B$10,0)+IF(E15&gt;=2,파라미터!$B$11,0)+IF(E15&gt;=3,파라미터!$B$12,0)))+MAX(0,파라미터!$B$5*(IF(E15&gt;=1,파라미터!$B$10,0)+IF(E15&gt;=2,파라미터!$B$11,0)+IF(E15&gt;=3,파라미터!$B$12,0))-파라미터!$B$15))*파라미터!$B$16-E15*파라미터!$B$7-MAX(0,파라미터!$B$19+파라미터!$B$20-MIN(파라미터!$B$15,파라미터!$B$5*(IF(E15&gt;=1,파라미터!$B$10,0)+IF(E15&gt;=2,파라미터!$B$11,0)+IF(E15&gt;=3,파라미터!$B$12,0))))-IF(MOD($A15-1,파라미터!$B$22)=0,파라미터!$B$21,0)</f>
        <v/>
      </c>
      <c r="G15" s="15">
        <f>MAX(0,G14+F15)</f>
        <v/>
      </c>
      <c r="H15" s="14">
        <f>IF(OR($A15&lt;파라미터!$B$6,MOD($A15,파라미터!$B$6)&gt;=3),0,INT((3-MOD($A15,파라미터!$B$6)-1)/파라미터!$B$6)+1)</f>
        <v/>
      </c>
      <c r="I15" s="15">
        <f>((H15*파라미터!$B$5-파라미터!$B$5*(IF(H15&gt;=1,파라미터!$B$10,0)+IF(H15&gt;=2,파라미터!$B$11,0)+IF(H15&gt;=3,파라미터!$B$12,0)))+MAX(0,파라미터!$B$5*(IF(H15&gt;=1,파라미터!$B$10,0)+IF(H15&gt;=2,파라미터!$B$11,0)+IF(H15&gt;=3,파라미터!$B$12,0))-파라미터!$B$15))*파라미터!$B$16-H15*파라미터!$B$7-MAX(0,파라미터!$B$19+파라미터!$B$20-MIN(파라미터!$B$15,파라미터!$B$5*(IF(H15&gt;=1,파라미터!$B$10,0)+IF(H15&gt;=2,파라미터!$B$11,0)+IF(H15&gt;=3,파라미터!$B$12,0))))-IF(MOD($A15-1,파라미터!$B$22)=0,파라미터!$B$21,0)</f>
        <v/>
      </c>
      <c r="J15" s="15">
        <f>MAX(0,J14+I15)</f>
        <v/>
      </c>
      <c r="K15" s="14">
        <f>IF(OR($A15&lt;파라미터!$B$6,MOD($A15,파라미터!$B$6)&gt;=5),0,INT((5-MOD($A15,파라미터!$B$6)-1)/파라미터!$B$6)+1)</f>
        <v/>
      </c>
      <c r="L15" s="15">
        <f>((K15*파라미터!$B$5-파라미터!$B$5*(IF(K15&gt;=1,파라미터!$B$10,0)+IF(K15&gt;=2,파라미터!$B$11,0)+IF(K15&gt;=3,파라미터!$B$12,0)))+MAX(0,파라미터!$B$5*(IF(K15&gt;=1,파라미터!$B$10,0)+IF(K15&gt;=2,파라미터!$B$11,0)+IF(K15&gt;=3,파라미터!$B$12,0))-파라미터!$B$15))*파라미터!$B$16-K15*파라미터!$B$7-MAX(0,파라미터!$B$19+파라미터!$B$20-MIN(파라미터!$B$15,파라미터!$B$5*(IF(K15&gt;=1,파라미터!$B$10,0)+IF(K15&gt;=2,파라미터!$B$11,0)+IF(K15&gt;=3,파라미터!$B$12,0))))-IF(MOD($A15-1,파라미터!$B$22)=0,파라미터!$B$21,0)</f>
        <v/>
      </c>
      <c r="M15" s="15">
        <f>MAX(0,M14+L15)</f>
        <v/>
      </c>
      <c r="N15" s="14">
        <f>IF(OR($A15&lt;파라미터!$B$6,MOD($A15,파라미터!$B$6)&gt;=10),0,INT((10-MOD($A15,파라미터!$B$6)-1)/파라미터!$B$6)+1)</f>
        <v/>
      </c>
      <c r="O15" s="15">
        <f>((N15*파라미터!$B$5-파라미터!$B$5*(IF(N15&gt;=1,파라미터!$B$10,0)+IF(N15&gt;=2,파라미터!$B$11,0)+IF(N15&gt;=3,파라미터!$B$12,0)))+MAX(0,파라미터!$B$5*(IF(N15&gt;=1,파라미터!$B$10,0)+IF(N15&gt;=2,파라미터!$B$11,0)+IF(N15&gt;=3,파라미터!$B$12,0))-파라미터!$B$15))*파라미터!$B$16-N15*파라미터!$B$7-MAX(0,파라미터!$B$19+파라미터!$B$20-MIN(파라미터!$B$15,파라미터!$B$5*(IF(N15&gt;=1,파라미터!$B$10,0)+IF(N15&gt;=2,파라미터!$B$11,0)+IF(N15&gt;=3,파라미터!$B$12,0))))-IF(MOD($A15-1,파라미터!$B$22)=0,파라미터!$B$21,0)</f>
        <v/>
      </c>
      <c r="P15" s="15">
        <f>MAX(0,P14+O15)</f>
        <v/>
      </c>
      <c r="Q15" s="14">
        <f>IF(OR($A15&lt;파라미터!$B$6,MOD($A15,파라미터!$B$6)&gt;=20),0,INT((20-MOD($A15,파라미터!$B$6)-1)/파라미터!$B$6)+1)</f>
        <v/>
      </c>
      <c r="R15" s="15">
        <f>((Q15*파라미터!$B$5-파라미터!$B$5*(IF(Q15&gt;=1,파라미터!$B$10,0)+IF(Q15&gt;=2,파라미터!$B$11,0)+IF(Q15&gt;=3,파라미터!$B$12,0)))+MAX(0,파라미터!$B$5*(IF(Q15&gt;=1,파라미터!$B$10,0)+IF(Q15&gt;=2,파라미터!$B$11,0)+IF(Q15&gt;=3,파라미터!$B$12,0))-파라미터!$B$15))*파라미터!$B$16-Q15*파라미터!$B$7-MAX(0,파라미터!$B$19+파라미터!$B$20-MIN(파라미터!$B$15,파라미터!$B$5*(IF(Q15&gt;=1,파라미터!$B$10,0)+IF(Q15&gt;=2,파라미터!$B$11,0)+IF(Q15&gt;=3,파라미터!$B$12,0))))-IF(MOD($A15-1,파라미터!$B$22)=0,파라미터!$B$21,0)</f>
        <v/>
      </c>
      <c r="S15" s="15">
        <f>MAX(0,S14+R15)</f>
        <v/>
      </c>
    </row>
    <row r="16">
      <c r="A16" s="13" t="n">
        <v>12</v>
      </c>
      <c r="B16" s="14">
        <f>IF(OR($A16&lt;파라미터!$B$6,MOD($A16,파라미터!$B$6)&gt;=1),0,INT((1-MOD($A16,파라미터!$B$6)-1)/파라미터!$B$6)+1)</f>
        <v/>
      </c>
      <c r="C16" s="15">
        <f>((B16*파라미터!$B$5-파라미터!$B$5*(IF(B16&gt;=1,파라미터!$B$10,0)+IF(B16&gt;=2,파라미터!$B$11,0)+IF(B16&gt;=3,파라미터!$B$12,0)))+MAX(0,파라미터!$B$5*(IF(B16&gt;=1,파라미터!$B$10,0)+IF(B16&gt;=2,파라미터!$B$11,0)+IF(B16&gt;=3,파라미터!$B$12,0))-파라미터!$B$15))*파라미터!$B$16-B16*파라미터!$B$7-MAX(0,파라미터!$B$19+파라미터!$B$20-MIN(파라미터!$B$15,파라미터!$B$5*(IF(B16&gt;=1,파라미터!$B$10,0)+IF(B16&gt;=2,파라미터!$B$11,0)+IF(B16&gt;=3,파라미터!$B$12,0))))-IF(MOD($A16-1,파라미터!$B$22)=0,파라미터!$B$21,0)</f>
        <v/>
      </c>
      <c r="D16" s="15">
        <f>MAX(0,D15+C16)</f>
        <v/>
      </c>
      <c r="E16" s="14">
        <f>IF(OR($A16&lt;파라미터!$B$6,MOD($A16,파라미터!$B$6)&gt;=2),0,INT((2-MOD($A16,파라미터!$B$6)-1)/파라미터!$B$6)+1)</f>
        <v/>
      </c>
      <c r="F16" s="15">
        <f>((E16*파라미터!$B$5-파라미터!$B$5*(IF(E16&gt;=1,파라미터!$B$10,0)+IF(E16&gt;=2,파라미터!$B$11,0)+IF(E16&gt;=3,파라미터!$B$12,0)))+MAX(0,파라미터!$B$5*(IF(E16&gt;=1,파라미터!$B$10,0)+IF(E16&gt;=2,파라미터!$B$11,0)+IF(E16&gt;=3,파라미터!$B$12,0))-파라미터!$B$15))*파라미터!$B$16-E16*파라미터!$B$7-MAX(0,파라미터!$B$19+파라미터!$B$20-MIN(파라미터!$B$15,파라미터!$B$5*(IF(E16&gt;=1,파라미터!$B$10,0)+IF(E16&gt;=2,파라미터!$B$11,0)+IF(E16&gt;=3,파라미터!$B$12,0))))-IF(MOD($A16-1,파라미터!$B$22)=0,파라미터!$B$21,0)</f>
        <v/>
      </c>
      <c r="G16" s="15">
        <f>MAX(0,G15+F16)</f>
        <v/>
      </c>
      <c r="H16" s="14">
        <f>IF(OR($A16&lt;파라미터!$B$6,MOD($A16,파라미터!$B$6)&gt;=3),0,INT((3-MOD($A16,파라미터!$B$6)-1)/파라미터!$B$6)+1)</f>
        <v/>
      </c>
      <c r="I16" s="15">
        <f>((H16*파라미터!$B$5-파라미터!$B$5*(IF(H16&gt;=1,파라미터!$B$10,0)+IF(H16&gt;=2,파라미터!$B$11,0)+IF(H16&gt;=3,파라미터!$B$12,0)))+MAX(0,파라미터!$B$5*(IF(H16&gt;=1,파라미터!$B$10,0)+IF(H16&gt;=2,파라미터!$B$11,0)+IF(H16&gt;=3,파라미터!$B$12,0))-파라미터!$B$15))*파라미터!$B$16-H16*파라미터!$B$7-MAX(0,파라미터!$B$19+파라미터!$B$20-MIN(파라미터!$B$15,파라미터!$B$5*(IF(H16&gt;=1,파라미터!$B$10,0)+IF(H16&gt;=2,파라미터!$B$11,0)+IF(H16&gt;=3,파라미터!$B$12,0))))-IF(MOD($A16-1,파라미터!$B$22)=0,파라미터!$B$21,0)</f>
        <v/>
      </c>
      <c r="J16" s="15">
        <f>MAX(0,J15+I16)</f>
        <v/>
      </c>
      <c r="K16" s="14">
        <f>IF(OR($A16&lt;파라미터!$B$6,MOD($A16,파라미터!$B$6)&gt;=5),0,INT((5-MOD($A16,파라미터!$B$6)-1)/파라미터!$B$6)+1)</f>
        <v/>
      </c>
      <c r="L16" s="15">
        <f>((K16*파라미터!$B$5-파라미터!$B$5*(IF(K16&gt;=1,파라미터!$B$10,0)+IF(K16&gt;=2,파라미터!$B$11,0)+IF(K16&gt;=3,파라미터!$B$12,0)))+MAX(0,파라미터!$B$5*(IF(K16&gt;=1,파라미터!$B$10,0)+IF(K16&gt;=2,파라미터!$B$11,0)+IF(K16&gt;=3,파라미터!$B$12,0))-파라미터!$B$15))*파라미터!$B$16-K16*파라미터!$B$7-MAX(0,파라미터!$B$19+파라미터!$B$20-MIN(파라미터!$B$15,파라미터!$B$5*(IF(K16&gt;=1,파라미터!$B$10,0)+IF(K16&gt;=2,파라미터!$B$11,0)+IF(K16&gt;=3,파라미터!$B$12,0))))-IF(MOD($A16-1,파라미터!$B$22)=0,파라미터!$B$21,0)</f>
        <v/>
      </c>
      <c r="M16" s="15">
        <f>MAX(0,M15+L16)</f>
        <v/>
      </c>
      <c r="N16" s="14">
        <f>IF(OR($A16&lt;파라미터!$B$6,MOD($A16,파라미터!$B$6)&gt;=10),0,INT((10-MOD($A16,파라미터!$B$6)-1)/파라미터!$B$6)+1)</f>
        <v/>
      </c>
      <c r="O16" s="15">
        <f>((N16*파라미터!$B$5-파라미터!$B$5*(IF(N16&gt;=1,파라미터!$B$10,0)+IF(N16&gt;=2,파라미터!$B$11,0)+IF(N16&gt;=3,파라미터!$B$12,0)))+MAX(0,파라미터!$B$5*(IF(N16&gt;=1,파라미터!$B$10,0)+IF(N16&gt;=2,파라미터!$B$11,0)+IF(N16&gt;=3,파라미터!$B$12,0))-파라미터!$B$15))*파라미터!$B$16-N16*파라미터!$B$7-MAX(0,파라미터!$B$19+파라미터!$B$20-MIN(파라미터!$B$15,파라미터!$B$5*(IF(N16&gt;=1,파라미터!$B$10,0)+IF(N16&gt;=2,파라미터!$B$11,0)+IF(N16&gt;=3,파라미터!$B$12,0))))-IF(MOD($A16-1,파라미터!$B$22)=0,파라미터!$B$21,0)</f>
        <v/>
      </c>
      <c r="P16" s="15">
        <f>MAX(0,P15+O16)</f>
        <v/>
      </c>
      <c r="Q16" s="14">
        <f>IF(OR($A16&lt;파라미터!$B$6,MOD($A16,파라미터!$B$6)&gt;=20),0,INT((20-MOD($A16,파라미터!$B$6)-1)/파라미터!$B$6)+1)</f>
        <v/>
      </c>
      <c r="R16" s="15">
        <f>((Q16*파라미터!$B$5-파라미터!$B$5*(IF(Q16&gt;=1,파라미터!$B$10,0)+IF(Q16&gt;=2,파라미터!$B$11,0)+IF(Q16&gt;=3,파라미터!$B$12,0)))+MAX(0,파라미터!$B$5*(IF(Q16&gt;=1,파라미터!$B$10,0)+IF(Q16&gt;=2,파라미터!$B$11,0)+IF(Q16&gt;=3,파라미터!$B$12,0))-파라미터!$B$15))*파라미터!$B$16-Q16*파라미터!$B$7-MAX(0,파라미터!$B$19+파라미터!$B$20-MIN(파라미터!$B$15,파라미터!$B$5*(IF(Q16&gt;=1,파라미터!$B$10,0)+IF(Q16&gt;=2,파라미터!$B$11,0)+IF(Q16&gt;=3,파라미터!$B$12,0))))-IF(MOD($A16-1,파라미터!$B$22)=0,파라미터!$B$21,0)</f>
        <v/>
      </c>
      <c r="S16" s="15">
        <f>MAX(0,S15+R16)</f>
        <v/>
      </c>
    </row>
    <row r="17">
      <c r="A17" s="13" t="n">
        <v>13</v>
      </c>
      <c r="B17" s="14">
        <f>IF(OR($A17&lt;파라미터!$B$6,MOD($A17,파라미터!$B$6)&gt;=1),0,INT((1-MOD($A17,파라미터!$B$6)-1)/파라미터!$B$6)+1)</f>
        <v/>
      </c>
      <c r="C17" s="15">
        <f>((B17*파라미터!$B$5-파라미터!$B$5*(IF(B17&gt;=1,파라미터!$B$10,0)+IF(B17&gt;=2,파라미터!$B$11,0)+IF(B17&gt;=3,파라미터!$B$12,0)))+MAX(0,파라미터!$B$5*(IF(B17&gt;=1,파라미터!$B$10,0)+IF(B17&gt;=2,파라미터!$B$11,0)+IF(B17&gt;=3,파라미터!$B$12,0))-파라미터!$B$15))*파라미터!$B$16-B17*파라미터!$B$7-MAX(0,파라미터!$B$19+파라미터!$B$20-MIN(파라미터!$B$15,파라미터!$B$5*(IF(B17&gt;=1,파라미터!$B$10,0)+IF(B17&gt;=2,파라미터!$B$11,0)+IF(B17&gt;=3,파라미터!$B$12,0))))-IF(MOD($A17-1,파라미터!$B$22)=0,파라미터!$B$21,0)</f>
        <v/>
      </c>
      <c r="D17" s="15">
        <f>MAX(0,D16+C17)</f>
        <v/>
      </c>
      <c r="E17" s="14">
        <f>IF(OR($A17&lt;파라미터!$B$6,MOD($A17,파라미터!$B$6)&gt;=2),0,INT((2-MOD($A17,파라미터!$B$6)-1)/파라미터!$B$6)+1)</f>
        <v/>
      </c>
      <c r="F17" s="15">
        <f>((E17*파라미터!$B$5-파라미터!$B$5*(IF(E17&gt;=1,파라미터!$B$10,0)+IF(E17&gt;=2,파라미터!$B$11,0)+IF(E17&gt;=3,파라미터!$B$12,0)))+MAX(0,파라미터!$B$5*(IF(E17&gt;=1,파라미터!$B$10,0)+IF(E17&gt;=2,파라미터!$B$11,0)+IF(E17&gt;=3,파라미터!$B$12,0))-파라미터!$B$15))*파라미터!$B$16-E17*파라미터!$B$7-MAX(0,파라미터!$B$19+파라미터!$B$20-MIN(파라미터!$B$15,파라미터!$B$5*(IF(E17&gt;=1,파라미터!$B$10,0)+IF(E17&gt;=2,파라미터!$B$11,0)+IF(E17&gt;=3,파라미터!$B$12,0))))-IF(MOD($A17-1,파라미터!$B$22)=0,파라미터!$B$21,0)</f>
        <v/>
      </c>
      <c r="G17" s="15">
        <f>MAX(0,G16+F17)</f>
        <v/>
      </c>
      <c r="H17" s="14">
        <f>IF(OR($A17&lt;파라미터!$B$6,MOD($A17,파라미터!$B$6)&gt;=3),0,INT((3-MOD($A17,파라미터!$B$6)-1)/파라미터!$B$6)+1)</f>
        <v/>
      </c>
      <c r="I17" s="15">
        <f>((H17*파라미터!$B$5-파라미터!$B$5*(IF(H17&gt;=1,파라미터!$B$10,0)+IF(H17&gt;=2,파라미터!$B$11,0)+IF(H17&gt;=3,파라미터!$B$12,0)))+MAX(0,파라미터!$B$5*(IF(H17&gt;=1,파라미터!$B$10,0)+IF(H17&gt;=2,파라미터!$B$11,0)+IF(H17&gt;=3,파라미터!$B$12,0))-파라미터!$B$15))*파라미터!$B$16-H17*파라미터!$B$7-MAX(0,파라미터!$B$19+파라미터!$B$20-MIN(파라미터!$B$15,파라미터!$B$5*(IF(H17&gt;=1,파라미터!$B$10,0)+IF(H17&gt;=2,파라미터!$B$11,0)+IF(H17&gt;=3,파라미터!$B$12,0))))-IF(MOD($A17-1,파라미터!$B$22)=0,파라미터!$B$21,0)</f>
        <v/>
      </c>
      <c r="J17" s="15">
        <f>MAX(0,J16+I17)</f>
        <v/>
      </c>
      <c r="K17" s="14">
        <f>IF(OR($A17&lt;파라미터!$B$6,MOD($A17,파라미터!$B$6)&gt;=5),0,INT((5-MOD($A17,파라미터!$B$6)-1)/파라미터!$B$6)+1)</f>
        <v/>
      </c>
      <c r="L17" s="15">
        <f>((K17*파라미터!$B$5-파라미터!$B$5*(IF(K17&gt;=1,파라미터!$B$10,0)+IF(K17&gt;=2,파라미터!$B$11,0)+IF(K17&gt;=3,파라미터!$B$12,0)))+MAX(0,파라미터!$B$5*(IF(K17&gt;=1,파라미터!$B$10,0)+IF(K17&gt;=2,파라미터!$B$11,0)+IF(K17&gt;=3,파라미터!$B$12,0))-파라미터!$B$15))*파라미터!$B$16-K17*파라미터!$B$7-MAX(0,파라미터!$B$19+파라미터!$B$20-MIN(파라미터!$B$15,파라미터!$B$5*(IF(K17&gt;=1,파라미터!$B$10,0)+IF(K17&gt;=2,파라미터!$B$11,0)+IF(K17&gt;=3,파라미터!$B$12,0))))-IF(MOD($A17-1,파라미터!$B$22)=0,파라미터!$B$21,0)</f>
        <v/>
      </c>
      <c r="M17" s="15">
        <f>MAX(0,M16+L17)</f>
        <v/>
      </c>
      <c r="N17" s="14">
        <f>IF(OR($A17&lt;파라미터!$B$6,MOD($A17,파라미터!$B$6)&gt;=10),0,INT((10-MOD($A17,파라미터!$B$6)-1)/파라미터!$B$6)+1)</f>
        <v/>
      </c>
      <c r="O17" s="15">
        <f>((N17*파라미터!$B$5-파라미터!$B$5*(IF(N17&gt;=1,파라미터!$B$10,0)+IF(N17&gt;=2,파라미터!$B$11,0)+IF(N17&gt;=3,파라미터!$B$12,0)))+MAX(0,파라미터!$B$5*(IF(N17&gt;=1,파라미터!$B$10,0)+IF(N17&gt;=2,파라미터!$B$11,0)+IF(N17&gt;=3,파라미터!$B$12,0))-파라미터!$B$15))*파라미터!$B$16-N17*파라미터!$B$7-MAX(0,파라미터!$B$19+파라미터!$B$20-MIN(파라미터!$B$15,파라미터!$B$5*(IF(N17&gt;=1,파라미터!$B$10,0)+IF(N17&gt;=2,파라미터!$B$11,0)+IF(N17&gt;=3,파라미터!$B$12,0))))-IF(MOD($A17-1,파라미터!$B$22)=0,파라미터!$B$21,0)</f>
        <v/>
      </c>
      <c r="P17" s="15">
        <f>MAX(0,P16+O17)</f>
        <v/>
      </c>
      <c r="Q17" s="14">
        <f>IF(OR($A17&lt;파라미터!$B$6,MOD($A17,파라미터!$B$6)&gt;=20),0,INT((20-MOD($A17,파라미터!$B$6)-1)/파라미터!$B$6)+1)</f>
        <v/>
      </c>
      <c r="R17" s="15">
        <f>((Q17*파라미터!$B$5-파라미터!$B$5*(IF(Q17&gt;=1,파라미터!$B$10,0)+IF(Q17&gt;=2,파라미터!$B$11,0)+IF(Q17&gt;=3,파라미터!$B$12,0)))+MAX(0,파라미터!$B$5*(IF(Q17&gt;=1,파라미터!$B$10,0)+IF(Q17&gt;=2,파라미터!$B$11,0)+IF(Q17&gt;=3,파라미터!$B$12,0))-파라미터!$B$15))*파라미터!$B$16-Q17*파라미터!$B$7-MAX(0,파라미터!$B$19+파라미터!$B$20-MIN(파라미터!$B$15,파라미터!$B$5*(IF(Q17&gt;=1,파라미터!$B$10,0)+IF(Q17&gt;=2,파라미터!$B$11,0)+IF(Q17&gt;=3,파라미터!$B$12,0))))-IF(MOD($A17-1,파라미터!$B$22)=0,파라미터!$B$21,0)</f>
        <v/>
      </c>
      <c r="S17" s="15">
        <f>MAX(0,S16+R17)</f>
        <v/>
      </c>
    </row>
    <row r="18">
      <c r="A18" s="13" t="n">
        <v>14</v>
      </c>
      <c r="B18" s="14">
        <f>IF(OR($A18&lt;파라미터!$B$6,MOD($A18,파라미터!$B$6)&gt;=1),0,INT((1-MOD($A18,파라미터!$B$6)-1)/파라미터!$B$6)+1)</f>
        <v/>
      </c>
      <c r="C18" s="15">
        <f>((B18*파라미터!$B$5-파라미터!$B$5*(IF(B18&gt;=1,파라미터!$B$10,0)+IF(B18&gt;=2,파라미터!$B$11,0)+IF(B18&gt;=3,파라미터!$B$12,0)))+MAX(0,파라미터!$B$5*(IF(B18&gt;=1,파라미터!$B$10,0)+IF(B18&gt;=2,파라미터!$B$11,0)+IF(B18&gt;=3,파라미터!$B$12,0))-파라미터!$B$15))*파라미터!$B$16-B18*파라미터!$B$7-MAX(0,파라미터!$B$19+파라미터!$B$20-MIN(파라미터!$B$15,파라미터!$B$5*(IF(B18&gt;=1,파라미터!$B$10,0)+IF(B18&gt;=2,파라미터!$B$11,0)+IF(B18&gt;=3,파라미터!$B$12,0))))-IF(MOD($A18-1,파라미터!$B$22)=0,파라미터!$B$21,0)</f>
        <v/>
      </c>
      <c r="D18" s="15">
        <f>MAX(0,D17+C18)</f>
        <v/>
      </c>
      <c r="E18" s="14">
        <f>IF(OR($A18&lt;파라미터!$B$6,MOD($A18,파라미터!$B$6)&gt;=2),0,INT((2-MOD($A18,파라미터!$B$6)-1)/파라미터!$B$6)+1)</f>
        <v/>
      </c>
      <c r="F18" s="15">
        <f>((E18*파라미터!$B$5-파라미터!$B$5*(IF(E18&gt;=1,파라미터!$B$10,0)+IF(E18&gt;=2,파라미터!$B$11,0)+IF(E18&gt;=3,파라미터!$B$12,0)))+MAX(0,파라미터!$B$5*(IF(E18&gt;=1,파라미터!$B$10,0)+IF(E18&gt;=2,파라미터!$B$11,0)+IF(E18&gt;=3,파라미터!$B$12,0))-파라미터!$B$15))*파라미터!$B$16-E18*파라미터!$B$7-MAX(0,파라미터!$B$19+파라미터!$B$20-MIN(파라미터!$B$15,파라미터!$B$5*(IF(E18&gt;=1,파라미터!$B$10,0)+IF(E18&gt;=2,파라미터!$B$11,0)+IF(E18&gt;=3,파라미터!$B$12,0))))-IF(MOD($A18-1,파라미터!$B$22)=0,파라미터!$B$21,0)</f>
        <v/>
      </c>
      <c r="G18" s="15">
        <f>MAX(0,G17+F18)</f>
        <v/>
      </c>
      <c r="H18" s="14">
        <f>IF(OR($A18&lt;파라미터!$B$6,MOD($A18,파라미터!$B$6)&gt;=3),0,INT((3-MOD($A18,파라미터!$B$6)-1)/파라미터!$B$6)+1)</f>
        <v/>
      </c>
      <c r="I18" s="15">
        <f>((H18*파라미터!$B$5-파라미터!$B$5*(IF(H18&gt;=1,파라미터!$B$10,0)+IF(H18&gt;=2,파라미터!$B$11,0)+IF(H18&gt;=3,파라미터!$B$12,0)))+MAX(0,파라미터!$B$5*(IF(H18&gt;=1,파라미터!$B$10,0)+IF(H18&gt;=2,파라미터!$B$11,0)+IF(H18&gt;=3,파라미터!$B$12,0))-파라미터!$B$15))*파라미터!$B$16-H18*파라미터!$B$7-MAX(0,파라미터!$B$19+파라미터!$B$20-MIN(파라미터!$B$15,파라미터!$B$5*(IF(H18&gt;=1,파라미터!$B$10,0)+IF(H18&gt;=2,파라미터!$B$11,0)+IF(H18&gt;=3,파라미터!$B$12,0))))-IF(MOD($A18-1,파라미터!$B$22)=0,파라미터!$B$21,0)</f>
        <v/>
      </c>
      <c r="J18" s="15">
        <f>MAX(0,J17+I18)</f>
        <v/>
      </c>
      <c r="K18" s="14">
        <f>IF(OR($A18&lt;파라미터!$B$6,MOD($A18,파라미터!$B$6)&gt;=5),0,INT((5-MOD($A18,파라미터!$B$6)-1)/파라미터!$B$6)+1)</f>
        <v/>
      </c>
      <c r="L18" s="15">
        <f>((K18*파라미터!$B$5-파라미터!$B$5*(IF(K18&gt;=1,파라미터!$B$10,0)+IF(K18&gt;=2,파라미터!$B$11,0)+IF(K18&gt;=3,파라미터!$B$12,0)))+MAX(0,파라미터!$B$5*(IF(K18&gt;=1,파라미터!$B$10,0)+IF(K18&gt;=2,파라미터!$B$11,0)+IF(K18&gt;=3,파라미터!$B$12,0))-파라미터!$B$15))*파라미터!$B$16-K18*파라미터!$B$7-MAX(0,파라미터!$B$19+파라미터!$B$20-MIN(파라미터!$B$15,파라미터!$B$5*(IF(K18&gt;=1,파라미터!$B$10,0)+IF(K18&gt;=2,파라미터!$B$11,0)+IF(K18&gt;=3,파라미터!$B$12,0))))-IF(MOD($A18-1,파라미터!$B$22)=0,파라미터!$B$21,0)</f>
        <v/>
      </c>
      <c r="M18" s="15">
        <f>MAX(0,M17+L18)</f>
        <v/>
      </c>
      <c r="N18" s="14">
        <f>IF(OR($A18&lt;파라미터!$B$6,MOD($A18,파라미터!$B$6)&gt;=10),0,INT((10-MOD($A18,파라미터!$B$6)-1)/파라미터!$B$6)+1)</f>
        <v/>
      </c>
      <c r="O18" s="15">
        <f>((N18*파라미터!$B$5-파라미터!$B$5*(IF(N18&gt;=1,파라미터!$B$10,0)+IF(N18&gt;=2,파라미터!$B$11,0)+IF(N18&gt;=3,파라미터!$B$12,0)))+MAX(0,파라미터!$B$5*(IF(N18&gt;=1,파라미터!$B$10,0)+IF(N18&gt;=2,파라미터!$B$11,0)+IF(N18&gt;=3,파라미터!$B$12,0))-파라미터!$B$15))*파라미터!$B$16-N18*파라미터!$B$7-MAX(0,파라미터!$B$19+파라미터!$B$20-MIN(파라미터!$B$15,파라미터!$B$5*(IF(N18&gt;=1,파라미터!$B$10,0)+IF(N18&gt;=2,파라미터!$B$11,0)+IF(N18&gt;=3,파라미터!$B$12,0))))-IF(MOD($A18-1,파라미터!$B$22)=0,파라미터!$B$21,0)</f>
        <v/>
      </c>
      <c r="P18" s="15">
        <f>MAX(0,P17+O18)</f>
        <v/>
      </c>
      <c r="Q18" s="14">
        <f>IF(OR($A18&lt;파라미터!$B$6,MOD($A18,파라미터!$B$6)&gt;=20),0,INT((20-MOD($A18,파라미터!$B$6)-1)/파라미터!$B$6)+1)</f>
        <v/>
      </c>
      <c r="R18" s="15">
        <f>((Q18*파라미터!$B$5-파라미터!$B$5*(IF(Q18&gt;=1,파라미터!$B$10,0)+IF(Q18&gt;=2,파라미터!$B$11,0)+IF(Q18&gt;=3,파라미터!$B$12,0)))+MAX(0,파라미터!$B$5*(IF(Q18&gt;=1,파라미터!$B$10,0)+IF(Q18&gt;=2,파라미터!$B$11,0)+IF(Q18&gt;=3,파라미터!$B$12,0))-파라미터!$B$15))*파라미터!$B$16-Q18*파라미터!$B$7-MAX(0,파라미터!$B$19+파라미터!$B$20-MIN(파라미터!$B$15,파라미터!$B$5*(IF(Q18&gt;=1,파라미터!$B$10,0)+IF(Q18&gt;=2,파라미터!$B$11,0)+IF(Q18&gt;=3,파라미터!$B$12,0))))-IF(MOD($A18-1,파라미터!$B$22)=0,파라미터!$B$21,0)</f>
        <v/>
      </c>
      <c r="S18" s="15">
        <f>MAX(0,S17+R18)</f>
        <v/>
      </c>
    </row>
    <row r="19">
      <c r="A19" s="13" t="n">
        <v>15</v>
      </c>
      <c r="B19" s="14">
        <f>IF(OR($A19&lt;파라미터!$B$6,MOD($A19,파라미터!$B$6)&gt;=1),0,INT((1-MOD($A19,파라미터!$B$6)-1)/파라미터!$B$6)+1)</f>
        <v/>
      </c>
      <c r="C19" s="15">
        <f>((B19*파라미터!$B$5-파라미터!$B$5*(IF(B19&gt;=1,파라미터!$B$10,0)+IF(B19&gt;=2,파라미터!$B$11,0)+IF(B19&gt;=3,파라미터!$B$12,0)))+MAX(0,파라미터!$B$5*(IF(B19&gt;=1,파라미터!$B$10,0)+IF(B19&gt;=2,파라미터!$B$11,0)+IF(B19&gt;=3,파라미터!$B$12,0))-파라미터!$B$15))*파라미터!$B$16-B19*파라미터!$B$7-MAX(0,파라미터!$B$19+파라미터!$B$20-MIN(파라미터!$B$15,파라미터!$B$5*(IF(B19&gt;=1,파라미터!$B$10,0)+IF(B19&gt;=2,파라미터!$B$11,0)+IF(B19&gt;=3,파라미터!$B$12,0))))-IF(MOD($A19-1,파라미터!$B$22)=0,파라미터!$B$21,0)</f>
        <v/>
      </c>
      <c r="D19" s="15">
        <f>MAX(0,D18+C19)</f>
        <v/>
      </c>
      <c r="E19" s="14">
        <f>IF(OR($A19&lt;파라미터!$B$6,MOD($A19,파라미터!$B$6)&gt;=2),0,INT((2-MOD($A19,파라미터!$B$6)-1)/파라미터!$B$6)+1)</f>
        <v/>
      </c>
      <c r="F19" s="15">
        <f>((E19*파라미터!$B$5-파라미터!$B$5*(IF(E19&gt;=1,파라미터!$B$10,0)+IF(E19&gt;=2,파라미터!$B$11,0)+IF(E19&gt;=3,파라미터!$B$12,0)))+MAX(0,파라미터!$B$5*(IF(E19&gt;=1,파라미터!$B$10,0)+IF(E19&gt;=2,파라미터!$B$11,0)+IF(E19&gt;=3,파라미터!$B$12,0))-파라미터!$B$15))*파라미터!$B$16-E19*파라미터!$B$7-MAX(0,파라미터!$B$19+파라미터!$B$20-MIN(파라미터!$B$15,파라미터!$B$5*(IF(E19&gt;=1,파라미터!$B$10,0)+IF(E19&gt;=2,파라미터!$B$11,0)+IF(E19&gt;=3,파라미터!$B$12,0))))-IF(MOD($A19-1,파라미터!$B$22)=0,파라미터!$B$21,0)</f>
        <v/>
      </c>
      <c r="G19" s="15">
        <f>MAX(0,G18+F19)</f>
        <v/>
      </c>
      <c r="H19" s="14">
        <f>IF(OR($A19&lt;파라미터!$B$6,MOD($A19,파라미터!$B$6)&gt;=3),0,INT((3-MOD($A19,파라미터!$B$6)-1)/파라미터!$B$6)+1)</f>
        <v/>
      </c>
      <c r="I19" s="15">
        <f>((H19*파라미터!$B$5-파라미터!$B$5*(IF(H19&gt;=1,파라미터!$B$10,0)+IF(H19&gt;=2,파라미터!$B$11,0)+IF(H19&gt;=3,파라미터!$B$12,0)))+MAX(0,파라미터!$B$5*(IF(H19&gt;=1,파라미터!$B$10,0)+IF(H19&gt;=2,파라미터!$B$11,0)+IF(H19&gt;=3,파라미터!$B$12,0))-파라미터!$B$15))*파라미터!$B$16-H19*파라미터!$B$7-MAX(0,파라미터!$B$19+파라미터!$B$20-MIN(파라미터!$B$15,파라미터!$B$5*(IF(H19&gt;=1,파라미터!$B$10,0)+IF(H19&gt;=2,파라미터!$B$11,0)+IF(H19&gt;=3,파라미터!$B$12,0))))-IF(MOD($A19-1,파라미터!$B$22)=0,파라미터!$B$21,0)</f>
        <v/>
      </c>
      <c r="J19" s="15">
        <f>MAX(0,J18+I19)</f>
        <v/>
      </c>
      <c r="K19" s="14">
        <f>IF(OR($A19&lt;파라미터!$B$6,MOD($A19,파라미터!$B$6)&gt;=5),0,INT((5-MOD($A19,파라미터!$B$6)-1)/파라미터!$B$6)+1)</f>
        <v/>
      </c>
      <c r="L19" s="15">
        <f>((K19*파라미터!$B$5-파라미터!$B$5*(IF(K19&gt;=1,파라미터!$B$10,0)+IF(K19&gt;=2,파라미터!$B$11,0)+IF(K19&gt;=3,파라미터!$B$12,0)))+MAX(0,파라미터!$B$5*(IF(K19&gt;=1,파라미터!$B$10,0)+IF(K19&gt;=2,파라미터!$B$11,0)+IF(K19&gt;=3,파라미터!$B$12,0))-파라미터!$B$15))*파라미터!$B$16-K19*파라미터!$B$7-MAX(0,파라미터!$B$19+파라미터!$B$20-MIN(파라미터!$B$15,파라미터!$B$5*(IF(K19&gt;=1,파라미터!$B$10,0)+IF(K19&gt;=2,파라미터!$B$11,0)+IF(K19&gt;=3,파라미터!$B$12,0))))-IF(MOD($A19-1,파라미터!$B$22)=0,파라미터!$B$21,0)</f>
        <v/>
      </c>
      <c r="M19" s="15">
        <f>MAX(0,M18+L19)</f>
        <v/>
      </c>
      <c r="N19" s="14">
        <f>IF(OR($A19&lt;파라미터!$B$6,MOD($A19,파라미터!$B$6)&gt;=10),0,INT((10-MOD($A19,파라미터!$B$6)-1)/파라미터!$B$6)+1)</f>
        <v/>
      </c>
      <c r="O19" s="15">
        <f>((N19*파라미터!$B$5-파라미터!$B$5*(IF(N19&gt;=1,파라미터!$B$10,0)+IF(N19&gt;=2,파라미터!$B$11,0)+IF(N19&gt;=3,파라미터!$B$12,0)))+MAX(0,파라미터!$B$5*(IF(N19&gt;=1,파라미터!$B$10,0)+IF(N19&gt;=2,파라미터!$B$11,0)+IF(N19&gt;=3,파라미터!$B$12,0))-파라미터!$B$15))*파라미터!$B$16-N19*파라미터!$B$7-MAX(0,파라미터!$B$19+파라미터!$B$20-MIN(파라미터!$B$15,파라미터!$B$5*(IF(N19&gt;=1,파라미터!$B$10,0)+IF(N19&gt;=2,파라미터!$B$11,0)+IF(N19&gt;=3,파라미터!$B$12,0))))-IF(MOD($A19-1,파라미터!$B$22)=0,파라미터!$B$21,0)</f>
        <v/>
      </c>
      <c r="P19" s="15">
        <f>MAX(0,P18+O19)</f>
        <v/>
      </c>
      <c r="Q19" s="14">
        <f>IF(OR($A19&lt;파라미터!$B$6,MOD($A19,파라미터!$B$6)&gt;=20),0,INT((20-MOD($A19,파라미터!$B$6)-1)/파라미터!$B$6)+1)</f>
        <v/>
      </c>
      <c r="R19" s="15">
        <f>((Q19*파라미터!$B$5-파라미터!$B$5*(IF(Q19&gt;=1,파라미터!$B$10,0)+IF(Q19&gt;=2,파라미터!$B$11,0)+IF(Q19&gt;=3,파라미터!$B$12,0)))+MAX(0,파라미터!$B$5*(IF(Q19&gt;=1,파라미터!$B$10,0)+IF(Q19&gt;=2,파라미터!$B$11,0)+IF(Q19&gt;=3,파라미터!$B$12,0))-파라미터!$B$15))*파라미터!$B$16-Q19*파라미터!$B$7-MAX(0,파라미터!$B$19+파라미터!$B$20-MIN(파라미터!$B$15,파라미터!$B$5*(IF(Q19&gt;=1,파라미터!$B$10,0)+IF(Q19&gt;=2,파라미터!$B$11,0)+IF(Q19&gt;=3,파라미터!$B$12,0))))-IF(MOD($A19-1,파라미터!$B$22)=0,파라미터!$B$21,0)</f>
        <v/>
      </c>
      <c r="S19" s="15">
        <f>MAX(0,S18+R19)</f>
        <v/>
      </c>
    </row>
    <row r="20">
      <c r="A20" s="13" t="n">
        <v>16</v>
      </c>
      <c r="B20" s="14">
        <f>IF(OR($A20&lt;파라미터!$B$6,MOD($A20,파라미터!$B$6)&gt;=1),0,INT((1-MOD($A20,파라미터!$B$6)-1)/파라미터!$B$6)+1)</f>
        <v/>
      </c>
      <c r="C20" s="15">
        <f>((B20*파라미터!$B$5-파라미터!$B$5*(IF(B20&gt;=1,파라미터!$B$10,0)+IF(B20&gt;=2,파라미터!$B$11,0)+IF(B20&gt;=3,파라미터!$B$12,0)))+MAX(0,파라미터!$B$5*(IF(B20&gt;=1,파라미터!$B$10,0)+IF(B20&gt;=2,파라미터!$B$11,0)+IF(B20&gt;=3,파라미터!$B$12,0))-파라미터!$B$15))*파라미터!$B$16-B20*파라미터!$B$7-MAX(0,파라미터!$B$19+파라미터!$B$20-MIN(파라미터!$B$15,파라미터!$B$5*(IF(B20&gt;=1,파라미터!$B$10,0)+IF(B20&gt;=2,파라미터!$B$11,0)+IF(B20&gt;=3,파라미터!$B$12,0))))-IF(MOD($A20-1,파라미터!$B$22)=0,파라미터!$B$21,0)</f>
        <v/>
      </c>
      <c r="D20" s="15">
        <f>MAX(0,D19+C20)</f>
        <v/>
      </c>
      <c r="E20" s="14">
        <f>IF(OR($A20&lt;파라미터!$B$6,MOD($A20,파라미터!$B$6)&gt;=2),0,INT((2-MOD($A20,파라미터!$B$6)-1)/파라미터!$B$6)+1)</f>
        <v/>
      </c>
      <c r="F20" s="15">
        <f>((E20*파라미터!$B$5-파라미터!$B$5*(IF(E20&gt;=1,파라미터!$B$10,0)+IF(E20&gt;=2,파라미터!$B$11,0)+IF(E20&gt;=3,파라미터!$B$12,0)))+MAX(0,파라미터!$B$5*(IF(E20&gt;=1,파라미터!$B$10,0)+IF(E20&gt;=2,파라미터!$B$11,0)+IF(E20&gt;=3,파라미터!$B$12,0))-파라미터!$B$15))*파라미터!$B$16-E20*파라미터!$B$7-MAX(0,파라미터!$B$19+파라미터!$B$20-MIN(파라미터!$B$15,파라미터!$B$5*(IF(E20&gt;=1,파라미터!$B$10,0)+IF(E20&gt;=2,파라미터!$B$11,0)+IF(E20&gt;=3,파라미터!$B$12,0))))-IF(MOD($A20-1,파라미터!$B$22)=0,파라미터!$B$21,0)</f>
        <v/>
      </c>
      <c r="G20" s="15">
        <f>MAX(0,G19+F20)</f>
        <v/>
      </c>
      <c r="H20" s="14">
        <f>IF(OR($A20&lt;파라미터!$B$6,MOD($A20,파라미터!$B$6)&gt;=3),0,INT((3-MOD($A20,파라미터!$B$6)-1)/파라미터!$B$6)+1)</f>
        <v/>
      </c>
      <c r="I20" s="15">
        <f>((H20*파라미터!$B$5-파라미터!$B$5*(IF(H20&gt;=1,파라미터!$B$10,0)+IF(H20&gt;=2,파라미터!$B$11,0)+IF(H20&gt;=3,파라미터!$B$12,0)))+MAX(0,파라미터!$B$5*(IF(H20&gt;=1,파라미터!$B$10,0)+IF(H20&gt;=2,파라미터!$B$11,0)+IF(H20&gt;=3,파라미터!$B$12,0))-파라미터!$B$15))*파라미터!$B$16-H20*파라미터!$B$7-MAX(0,파라미터!$B$19+파라미터!$B$20-MIN(파라미터!$B$15,파라미터!$B$5*(IF(H20&gt;=1,파라미터!$B$10,0)+IF(H20&gt;=2,파라미터!$B$11,0)+IF(H20&gt;=3,파라미터!$B$12,0))))-IF(MOD($A20-1,파라미터!$B$22)=0,파라미터!$B$21,0)</f>
        <v/>
      </c>
      <c r="J20" s="15">
        <f>MAX(0,J19+I20)</f>
        <v/>
      </c>
      <c r="K20" s="14">
        <f>IF(OR($A20&lt;파라미터!$B$6,MOD($A20,파라미터!$B$6)&gt;=5),0,INT((5-MOD($A20,파라미터!$B$6)-1)/파라미터!$B$6)+1)</f>
        <v/>
      </c>
      <c r="L20" s="15">
        <f>((K20*파라미터!$B$5-파라미터!$B$5*(IF(K20&gt;=1,파라미터!$B$10,0)+IF(K20&gt;=2,파라미터!$B$11,0)+IF(K20&gt;=3,파라미터!$B$12,0)))+MAX(0,파라미터!$B$5*(IF(K20&gt;=1,파라미터!$B$10,0)+IF(K20&gt;=2,파라미터!$B$11,0)+IF(K20&gt;=3,파라미터!$B$12,0))-파라미터!$B$15))*파라미터!$B$16-K20*파라미터!$B$7-MAX(0,파라미터!$B$19+파라미터!$B$20-MIN(파라미터!$B$15,파라미터!$B$5*(IF(K20&gt;=1,파라미터!$B$10,0)+IF(K20&gt;=2,파라미터!$B$11,0)+IF(K20&gt;=3,파라미터!$B$12,0))))-IF(MOD($A20-1,파라미터!$B$22)=0,파라미터!$B$21,0)</f>
        <v/>
      </c>
      <c r="M20" s="15">
        <f>MAX(0,M19+L20)</f>
        <v/>
      </c>
      <c r="N20" s="14">
        <f>IF(OR($A20&lt;파라미터!$B$6,MOD($A20,파라미터!$B$6)&gt;=10),0,INT((10-MOD($A20,파라미터!$B$6)-1)/파라미터!$B$6)+1)</f>
        <v/>
      </c>
      <c r="O20" s="15">
        <f>((N20*파라미터!$B$5-파라미터!$B$5*(IF(N20&gt;=1,파라미터!$B$10,0)+IF(N20&gt;=2,파라미터!$B$11,0)+IF(N20&gt;=3,파라미터!$B$12,0)))+MAX(0,파라미터!$B$5*(IF(N20&gt;=1,파라미터!$B$10,0)+IF(N20&gt;=2,파라미터!$B$11,0)+IF(N20&gt;=3,파라미터!$B$12,0))-파라미터!$B$15))*파라미터!$B$16-N20*파라미터!$B$7-MAX(0,파라미터!$B$19+파라미터!$B$20-MIN(파라미터!$B$15,파라미터!$B$5*(IF(N20&gt;=1,파라미터!$B$10,0)+IF(N20&gt;=2,파라미터!$B$11,0)+IF(N20&gt;=3,파라미터!$B$12,0))))-IF(MOD($A20-1,파라미터!$B$22)=0,파라미터!$B$21,0)</f>
        <v/>
      </c>
      <c r="P20" s="15">
        <f>MAX(0,P19+O20)</f>
        <v/>
      </c>
      <c r="Q20" s="14">
        <f>IF(OR($A20&lt;파라미터!$B$6,MOD($A20,파라미터!$B$6)&gt;=20),0,INT((20-MOD($A20,파라미터!$B$6)-1)/파라미터!$B$6)+1)</f>
        <v/>
      </c>
      <c r="R20" s="15">
        <f>((Q20*파라미터!$B$5-파라미터!$B$5*(IF(Q20&gt;=1,파라미터!$B$10,0)+IF(Q20&gt;=2,파라미터!$B$11,0)+IF(Q20&gt;=3,파라미터!$B$12,0)))+MAX(0,파라미터!$B$5*(IF(Q20&gt;=1,파라미터!$B$10,0)+IF(Q20&gt;=2,파라미터!$B$11,0)+IF(Q20&gt;=3,파라미터!$B$12,0))-파라미터!$B$15))*파라미터!$B$16-Q20*파라미터!$B$7-MAX(0,파라미터!$B$19+파라미터!$B$20-MIN(파라미터!$B$15,파라미터!$B$5*(IF(Q20&gt;=1,파라미터!$B$10,0)+IF(Q20&gt;=2,파라미터!$B$11,0)+IF(Q20&gt;=3,파라미터!$B$12,0))))-IF(MOD($A20-1,파라미터!$B$22)=0,파라미터!$B$21,0)</f>
        <v/>
      </c>
      <c r="S20" s="15">
        <f>MAX(0,S19+R20)</f>
        <v/>
      </c>
    </row>
    <row r="21">
      <c r="A21" s="13" t="n">
        <v>17</v>
      </c>
      <c r="B21" s="14">
        <f>IF(OR($A21&lt;파라미터!$B$6,MOD($A21,파라미터!$B$6)&gt;=1),0,INT((1-MOD($A21,파라미터!$B$6)-1)/파라미터!$B$6)+1)</f>
        <v/>
      </c>
      <c r="C21" s="15">
        <f>((B21*파라미터!$B$5-파라미터!$B$5*(IF(B21&gt;=1,파라미터!$B$10,0)+IF(B21&gt;=2,파라미터!$B$11,0)+IF(B21&gt;=3,파라미터!$B$12,0)))+MAX(0,파라미터!$B$5*(IF(B21&gt;=1,파라미터!$B$10,0)+IF(B21&gt;=2,파라미터!$B$11,0)+IF(B21&gt;=3,파라미터!$B$12,0))-파라미터!$B$15))*파라미터!$B$16-B21*파라미터!$B$7-MAX(0,파라미터!$B$19+파라미터!$B$20-MIN(파라미터!$B$15,파라미터!$B$5*(IF(B21&gt;=1,파라미터!$B$10,0)+IF(B21&gt;=2,파라미터!$B$11,0)+IF(B21&gt;=3,파라미터!$B$12,0))))-IF(MOD($A21-1,파라미터!$B$22)=0,파라미터!$B$21,0)</f>
        <v/>
      </c>
      <c r="D21" s="15">
        <f>MAX(0,D20+C21)</f>
        <v/>
      </c>
      <c r="E21" s="14">
        <f>IF(OR($A21&lt;파라미터!$B$6,MOD($A21,파라미터!$B$6)&gt;=2),0,INT((2-MOD($A21,파라미터!$B$6)-1)/파라미터!$B$6)+1)</f>
        <v/>
      </c>
      <c r="F21" s="15">
        <f>((E21*파라미터!$B$5-파라미터!$B$5*(IF(E21&gt;=1,파라미터!$B$10,0)+IF(E21&gt;=2,파라미터!$B$11,0)+IF(E21&gt;=3,파라미터!$B$12,0)))+MAX(0,파라미터!$B$5*(IF(E21&gt;=1,파라미터!$B$10,0)+IF(E21&gt;=2,파라미터!$B$11,0)+IF(E21&gt;=3,파라미터!$B$12,0))-파라미터!$B$15))*파라미터!$B$16-E21*파라미터!$B$7-MAX(0,파라미터!$B$19+파라미터!$B$20-MIN(파라미터!$B$15,파라미터!$B$5*(IF(E21&gt;=1,파라미터!$B$10,0)+IF(E21&gt;=2,파라미터!$B$11,0)+IF(E21&gt;=3,파라미터!$B$12,0))))-IF(MOD($A21-1,파라미터!$B$22)=0,파라미터!$B$21,0)</f>
        <v/>
      </c>
      <c r="G21" s="15">
        <f>MAX(0,G20+F21)</f>
        <v/>
      </c>
      <c r="H21" s="14">
        <f>IF(OR($A21&lt;파라미터!$B$6,MOD($A21,파라미터!$B$6)&gt;=3),0,INT((3-MOD($A21,파라미터!$B$6)-1)/파라미터!$B$6)+1)</f>
        <v/>
      </c>
      <c r="I21" s="15">
        <f>((H21*파라미터!$B$5-파라미터!$B$5*(IF(H21&gt;=1,파라미터!$B$10,0)+IF(H21&gt;=2,파라미터!$B$11,0)+IF(H21&gt;=3,파라미터!$B$12,0)))+MAX(0,파라미터!$B$5*(IF(H21&gt;=1,파라미터!$B$10,0)+IF(H21&gt;=2,파라미터!$B$11,0)+IF(H21&gt;=3,파라미터!$B$12,0))-파라미터!$B$15))*파라미터!$B$16-H21*파라미터!$B$7-MAX(0,파라미터!$B$19+파라미터!$B$20-MIN(파라미터!$B$15,파라미터!$B$5*(IF(H21&gt;=1,파라미터!$B$10,0)+IF(H21&gt;=2,파라미터!$B$11,0)+IF(H21&gt;=3,파라미터!$B$12,0))))-IF(MOD($A21-1,파라미터!$B$22)=0,파라미터!$B$21,0)</f>
        <v/>
      </c>
      <c r="J21" s="15">
        <f>MAX(0,J20+I21)</f>
        <v/>
      </c>
      <c r="K21" s="14">
        <f>IF(OR($A21&lt;파라미터!$B$6,MOD($A21,파라미터!$B$6)&gt;=5),0,INT((5-MOD($A21,파라미터!$B$6)-1)/파라미터!$B$6)+1)</f>
        <v/>
      </c>
      <c r="L21" s="15">
        <f>((K21*파라미터!$B$5-파라미터!$B$5*(IF(K21&gt;=1,파라미터!$B$10,0)+IF(K21&gt;=2,파라미터!$B$11,0)+IF(K21&gt;=3,파라미터!$B$12,0)))+MAX(0,파라미터!$B$5*(IF(K21&gt;=1,파라미터!$B$10,0)+IF(K21&gt;=2,파라미터!$B$11,0)+IF(K21&gt;=3,파라미터!$B$12,0))-파라미터!$B$15))*파라미터!$B$16-K21*파라미터!$B$7-MAX(0,파라미터!$B$19+파라미터!$B$20-MIN(파라미터!$B$15,파라미터!$B$5*(IF(K21&gt;=1,파라미터!$B$10,0)+IF(K21&gt;=2,파라미터!$B$11,0)+IF(K21&gt;=3,파라미터!$B$12,0))))-IF(MOD($A21-1,파라미터!$B$22)=0,파라미터!$B$21,0)</f>
        <v/>
      </c>
      <c r="M21" s="15">
        <f>MAX(0,M20+L21)</f>
        <v/>
      </c>
      <c r="N21" s="14">
        <f>IF(OR($A21&lt;파라미터!$B$6,MOD($A21,파라미터!$B$6)&gt;=10),0,INT((10-MOD($A21,파라미터!$B$6)-1)/파라미터!$B$6)+1)</f>
        <v/>
      </c>
      <c r="O21" s="15">
        <f>((N21*파라미터!$B$5-파라미터!$B$5*(IF(N21&gt;=1,파라미터!$B$10,0)+IF(N21&gt;=2,파라미터!$B$11,0)+IF(N21&gt;=3,파라미터!$B$12,0)))+MAX(0,파라미터!$B$5*(IF(N21&gt;=1,파라미터!$B$10,0)+IF(N21&gt;=2,파라미터!$B$11,0)+IF(N21&gt;=3,파라미터!$B$12,0))-파라미터!$B$15))*파라미터!$B$16-N21*파라미터!$B$7-MAX(0,파라미터!$B$19+파라미터!$B$20-MIN(파라미터!$B$15,파라미터!$B$5*(IF(N21&gt;=1,파라미터!$B$10,0)+IF(N21&gt;=2,파라미터!$B$11,0)+IF(N21&gt;=3,파라미터!$B$12,0))))-IF(MOD($A21-1,파라미터!$B$22)=0,파라미터!$B$21,0)</f>
        <v/>
      </c>
      <c r="P21" s="15">
        <f>MAX(0,P20+O21)</f>
        <v/>
      </c>
      <c r="Q21" s="14">
        <f>IF(OR($A21&lt;파라미터!$B$6,MOD($A21,파라미터!$B$6)&gt;=20),0,INT((20-MOD($A21,파라미터!$B$6)-1)/파라미터!$B$6)+1)</f>
        <v/>
      </c>
      <c r="R21" s="15">
        <f>((Q21*파라미터!$B$5-파라미터!$B$5*(IF(Q21&gt;=1,파라미터!$B$10,0)+IF(Q21&gt;=2,파라미터!$B$11,0)+IF(Q21&gt;=3,파라미터!$B$12,0)))+MAX(0,파라미터!$B$5*(IF(Q21&gt;=1,파라미터!$B$10,0)+IF(Q21&gt;=2,파라미터!$B$11,0)+IF(Q21&gt;=3,파라미터!$B$12,0))-파라미터!$B$15))*파라미터!$B$16-Q21*파라미터!$B$7-MAX(0,파라미터!$B$19+파라미터!$B$20-MIN(파라미터!$B$15,파라미터!$B$5*(IF(Q21&gt;=1,파라미터!$B$10,0)+IF(Q21&gt;=2,파라미터!$B$11,0)+IF(Q21&gt;=3,파라미터!$B$12,0))))-IF(MOD($A21-1,파라미터!$B$22)=0,파라미터!$B$21,0)</f>
        <v/>
      </c>
      <c r="S21" s="15">
        <f>MAX(0,S20+R21)</f>
        <v/>
      </c>
    </row>
    <row r="22">
      <c r="A22" s="13" t="n">
        <v>18</v>
      </c>
      <c r="B22" s="14">
        <f>IF(OR($A22&lt;파라미터!$B$6,MOD($A22,파라미터!$B$6)&gt;=1),0,INT((1-MOD($A22,파라미터!$B$6)-1)/파라미터!$B$6)+1)</f>
        <v/>
      </c>
      <c r="C22" s="15">
        <f>((B22*파라미터!$B$5-파라미터!$B$5*(IF(B22&gt;=1,파라미터!$B$10,0)+IF(B22&gt;=2,파라미터!$B$11,0)+IF(B22&gt;=3,파라미터!$B$12,0)))+MAX(0,파라미터!$B$5*(IF(B22&gt;=1,파라미터!$B$10,0)+IF(B22&gt;=2,파라미터!$B$11,0)+IF(B22&gt;=3,파라미터!$B$12,0))-파라미터!$B$15))*파라미터!$B$16-B22*파라미터!$B$7-MAX(0,파라미터!$B$19+파라미터!$B$20-MIN(파라미터!$B$15,파라미터!$B$5*(IF(B22&gt;=1,파라미터!$B$10,0)+IF(B22&gt;=2,파라미터!$B$11,0)+IF(B22&gt;=3,파라미터!$B$12,0))))-IF(MOD($A22-1,파라미터!$B$22)=0,파라미터!$B$21,0)</f>
        <v/>
      </c>
      <c r="D22" s="15">
        <f>MAX(0,D21+C22)</f>
        <v/>
      </c>
      <c r="E22" s="14">
        <f>IF(OR($A22&lt;파라미터!$B$6,MOD($A22,파라미터!$B$6)&gt;=2),0,INT((2-MOD($A22,파라미터!$B$6)-1)/파라미터!$B$6)+1)</f>
        <v/>
      </c>
      <c r="F22" s="15">
        <f>((E22*파라미터!$B$5-파라미터!$B$5*(IF(E22&gt;=1,파라미터!$B$10,0)+IF(E22&gt;=2,파라미터!$B$11,0)+IF(E22&gt;=3,파라미터!$B$12,0)))+MAX(0,파라미터!$B$5*(IF(E22&gt;=1,파라미터!$B$10,0)+IF(E22&gt;=2,파라미터!$B$11,0)+IF(E22&gt;=3,파라미터!$B$12,0))-파라미터!$B$15))*파라미터!$B$16-E22*파라미터!$B$7-MAX(0,파라미터!$B$19+파라미터!$B$20-MIN(파라미터!$B$15,파라미터!$B$5*(IF(E22&gt;=1,파라미터!$B$10,0)+IF(E22&gt;=2,파라미터!$B$11,0)+IF(E22&gt;=3,파라미터!$B$12,0))))-IF(MOD($A22-1,파라미터!$B$22)=0,파라미터!$B$21,0)</f>
        <v/>
      </c>
      <c r="G22" s="15">
        <f>MAX(0,G21+F22)</f>
        <v/>
      </c>
      <c r="H22" s="14">
        <f>IF(OR($A22&lt;파라미터!$B$6,MOD($A22,파라미터!$B$6)&gt;=3),0,INT((3-MOD($A22,파라미터!$B$6)-1)/파라미터!$B$6)+1)</f>
        <v/>
      </c>
      <c r="I22" s="15">
        <f>((H22*파라미터!$B$5-파라미터!$B$5*(IF(H22&gt;=1,파라미터!$B$10,0)+IF(H22&gt;=2,파라미터!$B$11,0)+IF(H22&gt;=3,파라미터!$B$12,0)))+MAX(0,파라미터!$B$5*(IF(H22&gt;=1,파라미터!$B$10,0)+IF(H22&gt;=2,파라미터!$B$11,0)+IF(H22&gt;=3,파라미터!$B$12,0))-파라미터!$B$15))*파라미터!$B$16-H22*파라미터!$B$7-MAX(0,파라미터!$B$19+파라미터!$B$20-MIN(파라미터!$B$15,파라미터!$B$5*(IF(H22&gt;=1,파라미터!$B$10,0)+IF(H22&gt;=2,파라미터!$B$11,0)+IF(H22&gt;=3,파라미터!$B$12,0))))-IF(MOD($A22-1,파라미터!$B$22)=0,파라미터!$B$21,0)</f>
        <v/>
      </c>
      <c r="J22" s="15">
        <f>MAX(0,J21+I22)</f>
        <v/>
      </c>
      <c r="K22" s="14">
        <f>IF(OR($A22&lt;파라미터!$B$6,MOD($A22,파라미터!$B$6)&gt;=5),0,INT((5-MOD($A22,파라미터!$B$6)-1)/파라미터!$B$6)+1)</f>
        <v/>
      </c>
      <c r="L22" s="15">
        <f>((K22*파라미터!$B$5-파라미터!$B$5*(IF(K22&gt;=1,파라미터!$B$10,0)+IF(K22&gt;=2,파라미터!$B$11,0)+IF(K22&gt;=3,파라미터!$B$12,0)))+MAX(0,파라미터!$B$5*(IF(K22&gt;=1,파라미터!$B$10,0)+IF(K22&gt;=2,파라미터!$B$11,0)+IF(K22&gt;=3,파라미터!$B$12,0))-파라미터!$B$15))*파라미터!$B$16-K22*파라미터!$B$7-MAX(0,파라미터!$B$19+파라미터!$B$20-MIN(파라미터!$B$15,파라미터!$B$5*(IF(K22&gt;=1,파라미터!$B$10,0)+IF(K22&gt;=2,파라미터!$B$11,0)+IF(K22&gt;=3,파라미터!$B$12,0))))-IF(MOD($A22-1,파라미터!$B$22)=0,파라미터!$B$21,0)</f>
        <v/>
      </c>
      <c r="M22" s="15">
        <f>MAX(0,M21+L22)</f>
        <v/>
      </c>
      <c r="N22" s="14">
        <f>IF(OR($A22&lt;파라미터!$B$6,MOD($A22,파라미터!$B$6)&gt;=10),0,INT((10-MOD($A22,파라미터!$B$6)-1)/파라미터!$B$6)+1)</f>
        <v/>
      </c>
      <c r="O22" s="15">
        <f>((N22*파라미터!$B$5-파라미터!$B$5*(IF(N22&gt;=1,파라미터!$B$10,0)+IF(N22&gt;=2,파라미터!$B$11,0)+IF(N22&gt;=3,파라미터!$B$12,0)))+MAX(0,파라미터!$B$5*(IF(N22&gt;=1,파라미터!$B$10,0)+IF(N22&gt;=2,파라미터!$B$11,0)+IF(N22&gt;=3,파라미터!$B$12,0))-파라미터!$B$15))*파라미터!$B$16-N22*파라미터!$B$7-MAX(0,파라미터!$B$19+파라미터!$B$20-MIN(파라미터!$B$15,파라미터!$B$5*(IF(N22&gt;=1,파라미터!$B$10,0)+IF(N22&gt;=2,파라미터!$B$11,0)+IF(N22&gt;=3,파라미터!$B$12,0))))-IF(MOD($A22-1,파라미터!$B$22)=0,파라미터!$B$21,0)</f>
        <v/>
      </c>
      <c r="P22" s="15">
        <f>MAX(0,P21+O22)</f>
        <v/>
      </c>
      <c r="Q22" s="14">
        <f>IF(OR($A22&lt;파라미터!$B$6,MOD($A22,파라미터!$B$6)&gt;=20),0,INT((20-MOD($A22,파라미터!$B$6)-1)/파라미터!$B$6)+1)</f>
        <v/>
      </c>
      <c r="R22" s="15">
        <f>((Q22*파라미터!$B$5-파라미터!$B$5*(IF(Q22&gt;=1,파라미터!$B$10,0)+IF(Q22&gt;=2,파라미터!$B$11,0)+IF(Q22&gt;=3,파라미터!$B$12,0)))+MAX(0,파라미터!$B$5*(IF(Q22&gt;=1,파라미터!$B$10,0)+IF(Q22&gt;=2,파라미터!$B$11,0)+IF(Q22&gt;=3,파라미터!$B$12,0))-파라미터!$B$15))*파라미터!$B$16-Q22*파라미터!$B$7-MAX(0,파라미터!$B$19+파라미터!$B$20-MIN(파라미터!$B$15,파라미터!$B$5*(IF(Q22&gt;=1,파라미터!$B$10,0)+IF(Q22&gt;=2,파라미터!$B$11,0)+IF(Q22&gt;=3,파라미터!$B$12,0))))-IF(MOD($A22-1,파라미터!$B$22)=0,파라미터!$B$21,0)</f>
        <v/>
      </c>
      <c r="S22" s="15">
        <f>MAX(0,S21+R22)</f>
        <v/>
      </c>
    </row>
    <row r="23">
      <c r="A23" s="13" t="n">
        <v>19</v>
      </c>
      <c r="B23" s="14">
        <f>IF(OR($A23&lt;파라미터!$B$6,MOD($A23,파라미터!$B$6)&gt;=1),0,INT((1-MOD($A23,파라미터!$B$6)-1)/파라미터!$B$6)+1)</f>
        <v/>
      </c>
      <c r="C23" s="15">
        <f>((B23*파라미터!$B$5-파라미터!$B$5*(IF(B23&gt;=1,파라미터!$B$10,0)+IF(B23&gt;=2,파라미터!$B$11,0)+IF(B23&gt;=3,파라미터!$B$12,0)))+MAX(0,파라미터!$B$5*(IF(B23&gt;=1,파라미터!$B$10,0)+IF(B23&gt;=2,파라미터!$B$11,0)+IF(B23&gt;=3,파라미터!$B$12,0))-파라미터!$B$15))*파라미터!$B$16-B23*파라미터!$B$7-MAX(0,파라미터!$B$19+파라미터!$B$20-MIN(파라미터!$B$15,파라미터!$B$5*(IF(B23&gt;=1,파라미터!$B$10,0)+IF(B23&gt;=2,파라미터!$B$11,0)+IF(B23&gt;=3,파라미터!$B$12,0))))-IF(MOD($A23-1,파라미터!$B$22)=0,파라미터!$B$21,0)</f>
        <v/>
      </c>
      <c r="D23" s="15">
        <f>MAX(0,D22+C23)</f>
        <v/>
      </c>
      <c r="E23" s="14">
        <f>IF(OR($A23&lt;파라미터!$B$6,MOD($A23,파라미터!$B$6)&gt;=2),0,INT((2-MOD($A23,파라미터!$B$6)-1)/파라미터!$B$6)+1)</f>
        <v/>
      </c>
      <c r="F23" s="15">
        <f>((E23*파라미터!$B$5-파라미터!$B$5*(IF(E23&gt;=1,파라미터!$B$10,0)+IF(E23&gt;=2,파라미터!$B$11,0)+IF(E23&gt;=3,파라미터!$B$12,0)))+MAX(0,파라미터!$B$5*(IF(E23&gt;=1,파라미터!$B$10,0)+IF(E23&gt;=2,파라미터!$B$11,0)+IF(E23&gt;=3,파라미터!$B$12,0))-파라미터!$B$15))*파라미터!$B$16-E23*파라미터!$B$7-MAX(0,파라미터!$B$19+파라미터!$B$20-MIN(파라미터!$B$15,파라미터!$B$5*(IF(E23&gt;=1,파라미터!$B$10,0)+IF(E23&gt;=2,파라미터!$B$11,0)+IF(E23&gt;=3,파라미터!$B$12,0))))-IF(MOD($A23-1,파라미터!$B$22)=0,파라미터!$B$21,0)</f>
        <v/>
      </c>
      <c r="G23" s="15">
        <f>MAX(0,G22+F23)</f>
        <v/>
      </c>
      <c r="H23" s="14">
        <f>IF(OR($A23&lt;파라미터!$B$6,MOD($A23,파라미터!$B$6)&gt;=3),0,INT((3-MOD($A23,파라미터!$B$6)-1)/파라미터!$B$6)+1)</f>
        <v/>
      </c>
      <c r="I23" s="15">
        <f>((H23*파라미터!$B$5-파라미터!$B$5*(IF(H23&gt;=1,파라미터!$B$10,0)+IF(H23&gt;=2,파라미터!$B$11,0)+IF(H23&gt;=3,파라미터!$B$12,0)))+MAX(0,파라미터!$B$5*(IF(H23&gt;=1,파라미터!$B$10,0)+IF(H23&gt;=2,파라미터!$B$11,0)+IF(H23&gt;=3,파라미터!$B$12,0))-파라미터!$B$15))*파라미터!$B$16-H23*파라미터!$B$7-MAX(0,파라미터!$B$19+파라미터!$B$20-MIN(파라미터!$B$15,파라미터!$B$5*(IF(H23&gt;=1,파라미터!$B$10,0)+IF(H23&gt;=2,파라미터!$B$11,0)+IF(H23&gt;=3,파라미터!$B$12,0))))-IF(MOD($A23-1,파라미터!$B$22)=0,파라미터!$B$21,0)</f>
        <v/>
      </c>
      <c r="J23" s="15">
        <f>MAX(0,J22+I23)</f>
        <v/>
      </c>
      <c r="K23" s="14">
        <f>IF(OR($A23&lt;파라미터!$B$6,MOD($A23,파라미터!$B$6)&gt;=5),0,INT((5-MOD($A23,파라미터!$B$6)-1)/파라미터!$B$6)+1)</f>
        <v/>
      </c>
      <c r="L23" s="15">
        <f>((K23*파라미터!$B$5-파라미터!$B$5*(IF(K23&gt;=1,파라미터!$B$10,0)+IF(K23&gt;=2,파라미터!$B$11,0)+IF(K23&gt;=3,파라미터!$B$12,0)))+MAX(0,파라미터!$B$5*(IF(K23&gt;=1,파라미터!$B$10,0)+IF(K23&gt;=2,파라미터!$B$11,0)+IF(K23&gt;=3,파라미터!$B$12,0))-파라미터!$B$15))*파라미터!$B$16-K23*파라미터!$B$7-MAX(0,파라미터!$B$19+파라미터!$B$20-MIN(파라미터!$B$15,파라미터!$B$5*(IF(K23&gt;=1,파라미터!$B$10,0)+IF(K23&gt;=2,파라미터!$B$11,0)+IF(K23&gt;=3,파라미터!$B$12,0))))-IF(MOD($A23-1,파라미터!$B$22)=0,파라미터!$B$21,0)</f>
        <v/>
      </c>
      <c r="M23" s="15">
        <f>MAX(0,M22+L23)</f>
        <v/>
      </c>
      <c r="N23" s="14">
        <f>IF(OR($A23&lt;파라미터!$B$6,MOD($A23,파라미터!$B$6)&gt;=10),0,INT((10-MOD($A23,파라미터!$B$6)-1)/파라미터!$B$6)+1)</f>
        <v/>
      </c>
      <c r="O23" s="15">
        <f>((N23*파라미터!$B$5-파라미터!$B$5*(IF(N23&gt;=1,파라미터!$B$10,0)+IF(N23&gt;=2,파라미터!$B$11,0)+IF(N23&gt;=3,파라미터!$B$12,0)))+MAX(0,파라미터!$B$5*(IF(N23&gt;=1,파라미터!$B$10,0)+IF(N23&gt;=2,파라미터!$B$11,0)+IF(N23&gt;=3,파라미터!$B$12,0))-파라미터!$B$15))*파라미터!$B$16-N23*파라미터!$B$7-MAX(0,파라미터!$B$19+파라미터!$B$20-MIN(파라미터!$B$15,파라미터!$B$5*(IF(N23&gt;=1,파라미터!$B$10,0)+IF(N23&gt;=2,파라미터!$B$11,0)+IF(N23&gt;=3,파라미터!$B$12,0))))-IF(MOD($A23-1,파라미터!$B$22)=0,파라미터!$B$21,0)</f>
        <v/>
      </c>
      <c r="P23" s="15">
        <f>MAX(0,P22+O23)</f>
        <v/>
      </c>
      <c r="Q23" s="14">
        <f>IF(OR($A23&lt;파라미터!$B$6,MOD($A23,파라미터!$B$6)&gt;=20),0,INT((20-MOD($A23,파라미터!$B$6)-1)/파라미터!$B$6)+1)</f>
        <v/>
      </c>
      <c r="R23" s="15">
        <f>((Q23*파라미터!$B$5-파라미터!$B$5*(IF(Q23&gt;=1,파라미터!$B$10,0)+IF(Q23&gt;=2,파라미터!$B$11,0)+IF(Q23&gt;=3,파라미터!$B$12,0)))+MAX(0,파라미터!$B$5*(IF(Q23&gt;=1,파라미터!$B$10,0)+IF(Q23&gt;=2,파라미터!$B$11,0)+IF(Q23&gt;=3,파라미터!$B$12,0))-파라미터!$B$15))*파라미터!$B$16-Q23*파라미터!$B$7-MAX(0,파라미터!$B$19+파라미터!$B$20-MIN(파라미터!$B$15,파라미터!$B$5*(IF(Q23&gt;=1,파라미터!$B$10,0)+IF(Q23&gt;=2,파라미터!$B$11,0)+IF(Q23&gt;=3,파라미터!$B$12,0))))-IF(MOD($A23-1,파라미터!$B$22)=0,파라미터!$B$21,0)</f>
        <v/>
      </c>
      <c r="S23" s="15">
        <f>MAX(0,S22+R23)</f>
        <v/>
      </c>
    </row>
    <row r="24">
      <c r="A24" s="13" t="n">
        <v>20</v>
      </c>
      <c r="B24" s="14">
        <f>IF(OR($A24&lt;파라미터!$B$6,MOD($A24,파라미터!$B$6)&gt;=1),0,INT((1-MOD($A24,파라미터!$B$6)-1)/파라미터!$B$6)+1)</f>
        <v/>
      </c>
      <c r="C24" s="15">
        <f>((B24*파라미터!$B$5-파라미터!$B$5*(IF(B24&gt;=1,파라미터!$B$10,0)+IF(B24&gt;=2,파라미터!$B$11,0)+IF(B24&gt;=3,파라미터!$B$12,0)))+MAX(0,파라미터!$B$5*(IF(B24&gt;=1,파라미터!$B$10,0)+IF(B24&gt;=2,파라미터!$B$11,0)+IF(B24&gt;=3,파라미터!$B$12,0))-파라미터!$B$15))*파라미터!$B$16-B24*파라미터!$B$7-MAX(0,파라미터!$B$19+파라미터!$B$20-MIN(파라미터!$B$15,파라미터!$B$5*(IF(B24&gt;=1,파라미터!$B$10,0)+IF(B24&gt;=2,파라미터!$B$11,0)+IF(B24&gt;=3,파라미터!$B$12,0))))-IF(MOD($A24-1,파라미터!$B$22)=0,파라미터!$B$21,0)</f>
        <v/>
      </c>
      <c r="D24" s="15">
        <f>MAX(0,D23+C24)</f>
        <v/>
      </c>
      <c r="E24" s="14">
        <f>IF(OR($A24&lt;파라미터!$B$6,MOD($A24,파라미터!$B$6)&gt;=2),0,INT((2-MOD($A24,파라미터!$B$6)-1)/파라미터!$B$6)+1)</f>
        <v/>
      </c>
      <c r="F24" s="15">
        <f>((E24*파라미터!$B$5-파라미터!$B$5*(IF(E24&gt;=1,파라미터!$B$10,0)+IF(E24&gt;=2,파라미터!$B$11,0)+IF(E24&gt;=3,파라미터!$B$12,0)))+MAX(0,파라미터!$B$5*(IF(E24&gt;=1,파라미터!$B$10,0)+IF(E24&gt;=2,파라미터!$B$11,0)+IF(E24&gt;=3,파라미터!$B$12,0))-파라미터!$B$15))*파라미터!$B$16-E24*파라미터!$B$7-MAX(0,파라미터!$B$19+파라미터!$B$20-MIN(파라미터!$B$15,파라미터!$B$5*(IF(E24&gt;=1,파라미터!$B$10,0)+IF(E24&gt;=2,파라미터!$B$11,0)+IF(E24&gt;=3,파라미터!$B$12,0))))-IF(MOD($A24-1,파라미터!$B$22)=0,파라미터!$B$21,0)</f>
        <v/>
      </c>
      <c r="G24" s="15">
        <f>MAX(0,G23+F24)</f>
        <v/>
      </c>
      <c r="H24" s="14">
        <f>IF(OR($A24&lt;파라미터!$B$6,MOD($A24,파라미터!$B$6)&gt;=3),0,INT((3-MOD($A24,파라미터!$B$6)-1)/파라미터!$B$6)+1)</f>
        <v/>
      </c>
      <c r="I24" s="15">
        <f>((H24*파라미터!$B$5-파라미터!$B$5*(IF(H24&gt;=1,파라미터!$B$10,0)+IF(H24&gt;=2,파라미터!$B$11,0)+IF(H24&gt;=3,파라미터!$B$12,0)))+MAX(0,파라미터!$B$5*(IF(H24&gt;=1,파라미터!$B$10,0)+IF(H24&gt;=2,파라미터!$B$11,0)+IF(H24&gt;=3,파라미터!$B$12,0))-파라미터!$B$15))*파라미터!$B$16-H24*파라미터!$B$7-MAX(0,파라미터!$B$19+파라미터!$B$20-MIN(파라미터!$B$15,파라미터!$B$5*(IF(H24&gt;=1,파라미터!$B$10,0)+IF(H24&gt;=2,파라미터!$B$11,0)+IF(H24&gt;=3,파라미터!$B$12,0))))-IF(MOD($A24-1,파라미터!$B$22)=0,파라미터!$B$21,0)</f>
        <v/>
      </c>
      <c r="J24" s="15">
        <f>MAX(0,J23+I24)</f>
        <v/>
      </c>
      <c r="K24" s="14">
        <f>IF(OR($A24&lt;파라미터!$B$6,MOD($A24,파라미터!$B$6)&gt;=5),0,INT((5-MOD($A24,파라미터!$B$6)-1)/파라미터!$B$6)+1)</f>
        <v/>
      </c>
      <c r="L24" s="15">
        <f>((K24*파라미터!$B$5-파라미터!$B$5*(IF(K24&gt;=1,파라미터!$B$10,0)+IF(K24&gt;=2,파라미터!$B$11,0)+IF(K24&gt;=3,파라미터!$B$12,0)))+MAX(0,파라미터!$B$5*(IF(K24&gt;=1,파라미터!$B$10,0)+IF(K24&gt;=2,파라미터!$B$11,0)+IF(K24&gt;=3,파라미터!$B$12,0))-파라미터!$B$15))*파라미터!$B$16-K24*파라미터!$B$7-MAX(0,파라미터!$B$19+파라미터!$B$20-MIN(파라미터!$B$15,파라미터!$B$5*(IF(K24&gt;=1,파라미터!$B$10,0)+IF(K24&gt;=2,파라미터!$B$11,0)+IF(K24&gt;=3,파라미터!$B$12,0))))-IF(MOD($A24-1,파라미터!$B$22)=0,파라미터!$B$21,0)</f>
        <v/>
      </c>
      <c r="M24" s="15">
        <f>MAX(0,M23+L24)</f>
        <v/>
      </c>
      <c r="N24" s="14">
        <f>IF(OR($A24&lt;파라미터!$B$6,MOD($A24,파라미터!$B$6)&gt;=10),0,INT((10-MOD($A24,파라미터!$B$6)-1)/파라미터!$B$6)+1)</f>
        <v/>
      </c>
      <c r="O24" s="15">
        <f>((N24*파라미터!$B$5-파라미터!$B$5*(IF(N24&gt;=1,파라미터!$B$10,0)+IF(N24&gt;=2,파라미터!$B$11,0)+IF(N24&gt;=3,파라미터!$B$12,0)))+MAX(0,파라미터!$B$5*(IF(N24&gt;=1,파라미터!$B$10,0)+IF(N24&gt;=2,파라미터!$B$11,0)+IF(N24&gt;=3,파라미터!$B$12,0))-파라미터!$B$15))*파라미터!$B$16-N24*파라미터!$B$7-MAX(0,파라미터!$B$19+파라미터!$B$20-MIN(파라미터!$B$15,파라미터!$B$5*(IF(N24&gt;=1,파라미터!$B$10,0)+IF(N24&gt;=2,파라미터!$B$11,0)+IF(N24&gt;=3,파라미터!$B$12,0))))-IF(MOD($A24-1,파라미터!$B$22)=0,파라미터!$B$21,0)</f>
        <v/>
      </c>
      <c r="P24" s="15">
        <f>MAX(0,P23+O24)</f>
        <v/>
      </c>
      <c r="Q24" s="14">
        <f>IF(OR($A24&lt;파라미터!$B$6,MOD($A24,파라미터!$B$6)&gt;=20),0,INT((20-MOD($A24,파라미터!$B$6)-1)/파라미터!$B$6)+1)</f>
        <v/>
      </c>
      <c r="R24" s="15">
        <f>((Q24*파라미터!$B$5-파라미터!$B$5*(IF(Q24&gt;=1,파라미터!$B$10,0)+IF(Q24&gt;=2,파라미터!$B$11,0)+IF(Q24&gt;=3,파라미터!$B$12,0)))+MAX(0,파라미터!$B$5*(IF(Q24&gt;=1,파라미터!$B$10,0)+IF(Q24&gt;=2,파라미터!$B$11,0)+IF(Q24&gt;=3,파라미터!$B$12,0))-파라미터!$B$15))*파라미터!$B$16-Q24*파라미터!$B$7-MAX(0,파라미터!$B$19+파라미터!$B$20-MIN(파라미터!$B$15,파라미터!$B$5*(IF(Q24&gt;=1,파라미터!$B$10,0)+IF(Q24&gt;=2,파라미터!$B$11,0)+IF(Q24&gt;=3,파라미터!$B$12,0))))-IF(MOD($A24-1,파라미터!$B$22)=0,파라미터!$B$21,0)</f>
        <v/>
      </c>
      <c r="S24" s="15">
        <f>MAX(0,S23+R24)</f>
        <v/>
      </c>
    </row>
    <row r="25">
      <c r="A25" s="13" t="n">
        <v>21</v>
      </c>
      <c r="B25" s="14">
        <f>IF(OR($A25&lt;파라미터!$B$6,MOD($A25,파라미터!$B$6)&gt;=1),0,INT((1-MOD($A25,파라미터!$B$6)-1)/파라미터!$B$6)+1)</f>
        <v/>
      </c>
      <c r="C25" s="15">
        <f>((B25*파라미터!$B$5-파라미터!$B$5*(IF(B25&gt;=1,파라미터!$B$10,0)+IF(B25&gt;=2,파라미터!$B$11,0)+IF(B25&gt;=3,파라미터!$B$12,0)))+MAX(0,파라미터!$B$5*(IF(B25&gt;=1,파라미터!$B$10,0)+IF(B25&gt;=2,파라미터!$B$11,0)+IF(B25&gt;=3,파라미터!$B$12,0))-파라미터!$B$15))*파라미터!$B$16-B25*파라미터!$B$7-MAX(0,파라미터!$B$19+파라미터!$B$20-MIN(파라미터!$B$15,파라미터!$B$5*(IF(B25&gt;=1,파라미터!$B$10,0)+IF(B25&gt;=2,파라미터!$B$11,0)+IF(B25&gt;=3,파라미터!$B$12,0))))-IF(MOD($A25-1,파라미터!$B$22)=0,파라미터!$B$21,0)</f>
        <v/>
      </c>
      <c r="D25" s="15">
        <f>MAX(0,D24+C25)</f>
        <v/>
      </c>
      <c r="E25" s="14">
        <f>IF(OR($A25&lt;파라미터!$B$6,MOD($A25,파라미터!$B$6)&gt;=2),0,INT((2-MOD($A25,파라미터!$B$6)-1)/파라미터!$B$6)+1)</f>
        <v/>
      </c>
      <c r="F25" s="15">
        <f>((E25*파라미터!$B$5-파라미터!$B$5*(IF(E25&gt;=1,파라미터!$B$10,0)+IF(E25&gt;=2,파라미터!$B$11,0)+IF(E25&gt;=3,파라미터!$B$12,0)))+MAX(0,파라미터!$B$5*(IF(E25&gt;=1,파라미터!$B$10,0)+IF(E25&gt;=2,파라미터!$B$11,0)+IF(E25&gt;=3,파라미터!$B$12,0))-파라미터!$B$15))*파라미터!$B$16-E25*파라미터!$B$7-MAX(0,파라미터!$B$19+파라미터!$B$20-MIN(파라미터!$B$15,파라미터!$B$5*(IF(E25&gt;=1,파라미터!$B$10,0)+IF(E25&gt;=2,파라미터!$B$11,0)+IF(E25&gt;=3,파라미터!$B$12,0))))-IF(MOD($A25-1,파라미터!$B$22)=0,파라미터!$B$21,0)</f>
        <v/>
      </c>
      <c r="G25" s="15">
        <f>MAX(0,G24+F25)</f>
        <v/>
      </c>
      <c r="H25" s="14">
        <f>IF(OR($A25&lt;파라미터!$B$6,MOD($A25,파라미터!$B$6)&gt;=3),0,INT((3-MOD($A25,파라미터!$B$6)-1)/파라미터!$B$6)+1)</f>
        <v/>
      </c>
      <c r="I25" s="15">
        <f>((H25*파라미터!$B$5-파라미터!$B$5*(IF(H25&gt;=1,파라미터!$B$10,0)+IF(H25&gt;=2,파라미터!$B$11,0)+IF(H25&gt;=3,파라미터!$B$12,0)))+MAX(0,파라미터!$B$5*(IF(H25&gt;=1,파라미터!$B$10,0)+IF(H25&gt;=2,파라미터!$B$11,0)+IF(H25&gt;=3,파라미터!$B$12,0))-파라미터!$B$15))*파라미터!$B$16-H25*파라미터!$B$7-MAX(0,파라미터!$B$19+파라미터!$B$20-MIN(파라미터!$B$15,파라미터!$B$5*(IF(H25&gt;=1,파라미터!$B$10,0)+IF(H25&gt;=2,파라미터!$B$11,0)+IF(H25&gt;=3,파라미터!$B$12,0))))-IF(MOD($A25-1,파라미터!$B$22)=0,파라미터!$B$21,0)</f>
        <v/>
      </c>
      <c r="J25" s="15">
        <f>MAX(0,J24+I25)</f>
        <v/>
      </c>
      <c r="K25" s="14">
        <f>IF(OR($A25&lt;파라미터!$B$6,MOD($A25,파라미터!$B$6)&gt;=5),0,INT((5-MOD($A25,파라미터!$B$6)-1)/파라미터!$B$6)+1)</f>
        <v/>
      </c>
      <c r="L25" s="15">
        <f>((K25*파라미터!$B$5-파라미터!$B$5*(IF(K25&gt;=1,파라미터!$B$10,0)+IF(K25&gt;=2,파라미터!$B$11,0)+IF(K25&gt;=3,파라미터!$B$12,0)))+MAX(0,파라미터!$B$5*(IF(K25&gt;=1,파라미터!$B$10,0)+IF(K25&gt;=2,파라미터!$B$11,0)+IF(K25&gt;=3,파라미터!$B$12,0))-파라미터!$B$15))*파라미터!$B$16-K25*파라미터!$B$7-MAX(0,파라미터!$B$19+파라미터!$B$20-MIN(파라미터!$B$15,파라미터!$B$5*(IF(K25&gt;=1,파라미터!$B$10,0)+IF(K25&gt;=2,파라미터!$B$11,0)+IF(K25&gt;=3,파라미터!$B$12,0))))-IF(MOD($A25-1,파라미터!$B$22)=0,파라미터!$B$21,0)</f>
        <v/>
      </c>
      <c r="M25" s="15">
        <f>MAX(0,M24+L25)</f>
        <v/>
      </c>
      <c r="N25" s="14">
        <f>IF(OR($A25&lt;파라미터!$B$6,MOD($A25,파라미터!$B$6)&gt;=10),0,INT((10-MOD($A25,파라미터!$B$6)-1)/파라미터!$B$6)+1)</f>
        <v/>
      </c>
      <c r="O25" s="15">
        <f>((N25*파라미터!$B$5-파라미터!$B$5*(IF(N25&gt;=1,파라미터!$B$10,0)+IF(N25&gt;=2,파라미터!$B$11,0)+IF(N25&gt;=3,파라미터!$B$12,0)))+MAX(0,파라미터!$B$5*(IF(N25&gt;=1,파라미터!$B$10,0)+IF(N25&gt;=2,파라미터!$B$11,0)+IF(N25&gt;=3,파라미터!$B$12,0))-파라미터!$B$15))*파라미터!$B$16-N25*파라미터!$B$7-MAX(0,파라미터!$B$19+파라미터!$B$20-MIN(파라미터!$B$15,파라미터!$B$5*(IF(N25&gt;=1,파라미터!$B$10,0)+IF(N25&gt;=2,파라미터!$B$11,0)+IF(N25&gt;=3,파라미터!$B$12,0))))-IF(MOD($A25-1,파라미터!$B$22)=0,파라미터!$B$21,0)</f>
        <v/>
      </c>
      <c r="P25" s="15">
        <f>MAX(0,P24+O25)</f>
        <v/>
      </c>
      <c r="Q25" s="14">
        <f>IF(OR($A25&lt;파라미터!$B$6,MOD($A25,파라미터!$B$6)&gt;=20),0,INT((20-MOD($A25,파라미터!$B$6)-1)/파라미터!$B$6)+1)</f>
        <v/>
      </c>
      <c r="R25" s="15">
        <f>((Q25*파라미터!$B$5-파라미터!$B$5*(IF(Q25&gt;=1,파라미터!$B$10,0)+IF(Q25&gt;=2,파라미터!$B$11,0)+IF(Q25&gt;=3,파라미터!$B$12,0)))+MAX(0,파라미터!$B$5*(IF(Q25&gt;=1,파라미터!$B$10,0)+IF(Q25&gt;=2,파라미터!$B$11,0)+IF(Q25&gt;=3,파라미터!$B$12,0))-파라미터!$B$15))*파라미터!$B$16-Q25*파라미터!$B$7-MAX(0,파라미터!$B$19+파라미터!$B$20-MIN(파라미터!$B$15,파라미터!$B$5*(IF(Q25&gt;=1,파라미터!$B$10,0)+IF(Q25&gt;=2,파라미터!$B$11,0)+IF(Q25&gt;=3,파라미터!$B$12,0))))-IF(MOD($A25-1,파라미터!$B$22)=0,파라미터!$B$21,0)</f>
        <v/>
      </c>
      <c r="S25" s="15">
        <f>MAX(0,S24+R25)</f>
        <v/>
      </c>
    </row>
    <row r="26">
      <c r="A26" s="13" t="n">
        <v>22</v>
      </c>
      <c r="B26" s="14">
        <f>IF(OR($A26&lt;파라미터!$B$6,MOD($A26,파라미터!$B$6)&gt;=1),0,INT((1-MOD($A26,파라미터!$B$6)-1)/파라미터!$B$6)+1)</f>
        <v/>
      </c>
      <c r="C26" s="15">
        <f>((B26*파라미터!$B$5-파라미터!$B$5*(IF(B26&gt;=1,파라미터!$B$10,0)+IF(B26&gt;=2,파라미터!$B$11,0)+IF(B26&gt;=3,파라미터!$B$12,0)))+MAX(0,파라미터!$B$5*(IF(B26&gt;=1,파라미터!$B$10,0)+IF(B26&gt;=2,파라미터!$B$11,0)+IF(B26&gt;=3,파라미터!$B$12,0))-파라미터!$B$15))*파라미터!$B$16-B26*파라미터!$B$7-MAX(0,파라미터!$B$19+파라미터!$B$20-MIN(파라미터!$B$15,파라미터!$B$5*(IF(B26&gt;=1,파라미터!$B$10,0)+IF(B26&gt;=2,파라미터!$B$11,0)+IF(B26&gt;=3,파라미터!$B$12,0))))-IF(MOD($A26-1,파라미터!$B$22)=0,파라미터!$B$21,0)</f>
        <v/>
      </c>
      <c r="D26" s="15">
        <f>MAX(0,D25+C26)</f>
        <v/>
      </c>
      <c r="E26" s="14">
        <f>IF(OR($A26&lt;파라미터!$B$6,MOD($A26,파라미터!$B$6)&gt;=2),0,INT((2-MOD($A26,파라미터!$B$6)-1)/파라미터!$B$6)+1)</f>
        <v/>
      </c>
      <c r="F26" s="15">
        <f>((E26*파라미터!$B$5-파라미터!$B$5*(IF(E26&gt;=1,파라미터!$B$10,0)+IF(E26&gt;=2,파라미터!$B$11,0)+IF(E26&gt;=3,파라미터!$B$12,0)))+MAX(0,파라미터!$B$5*(IF(E26&gt;=1,파라미터!$B$10,0)+IF(E26&gt;=2,파라미터!$B$11,0)+IF(E26&gt;=3,파라미터!$B$12,0))-파라미터!$B$15))*파라미터!$B$16-E26*파라미터!$B$7-MAX(0,파라미터!$B$19+파라미터!$B$20-MIN(파라미터!$B$15,파라미터!$B$5*(IF(E26&gt;=1,파라미터!$B$10,0)+IF(E26&gt;=2,파라미터!$B$11,0)+IF(E26&gt;=3,파라미터!$B$12,0))))-IF(MOD($A26-1,파라미터!$B$22)=0,파라미터!$B$21,0)</f>
        <v/>
      </c>
      <c r="G26" s="15">
        <f>MAX(0,G25+F26)</f>
        <v/>
      </c>
      <c r="H26" s="14">
        <f>IF(OR($A26&lt;파라미터!$B$6,MOD($A26,파라미터!$B$6)&gt;=3),0,INT((3-MOD($A26,파라미터!$B$6)-1)/파라미터!$B$6)+1)</f>
        <v/>
      </c>
      <c r="I26" s="15">
        <f>((H26*파라미터!$B$5-파라미터!$B$5*(IF(H26&gt;=1,파라미터!$B$10,0)+IF(H26&gt;=2,파라미터!$B$11,0)+IF(H26&gt;=3,파라미터!$B$12,0)))+MAX(0,파라미터!$B$5*(IF(H26&gt;=1,파라미터!$B$10,0)+IF(H26&gt;=2,파라미터!$B$11,0)+IF(H26&gt;=3,파라미터!$B$12,0))-파라미터!$B$15))*파라미터!$B$16-H26*파라미터!$B$7-MAX(0,파라미터!$B$19+파라미터!$B$20-MIN(파라미터!$B$15,파라미터!$B$5*(IF(H26&gt;=1,파라미터!$B$10,0)+IF(H26&gt;=2,파라미터!$B$11,0)+IF(H26&gt;=3,파라미터!$B$12,0))))-IF(MOD($A26-1,파라미터!$B$22)=0,파라미터!$B$21,0)</f>
        <v/>
      </c>
      <c r="J26" s="15">
        <f>MAX(0,J25+I26)</f>
        <v/>
      </c>
      <c r="K26" s="14">
        <f>IF(OR($A26&lt;파라미터!$B$6,MOD($A26,파라미터!$B$6)&gt;=5),0,INT((5-MOD($A26,파라미터!$B$6)-1)/파라미터!$B$6)+1)</f>
        <v/>
      </c>
      <c r="L26" s="15">
        <f>((K26*파라미터!$B$5-파라미터!$B$5*(IF(K26&gt;=1,파라미터!$B$10,0)+IF(K26&gt;=2,파라미터!$B$11,0)+IF(K26&gt;=3,파라미터!$B$12,0)))+MAX(0,파라미터!$B$5*(IF(K26&gt;=1,파라미터!$B$10,0)+IF(K26&gt;=2,파라미터!$B$11,0)+IF(K26&gt;=3,파라미터!$B$12,0))-파라미터!$B$15))*파라미터!$B$16-K26*파라미터!$B$7-MAX(0,파라미터!$B$19+파라미터!$B$20-MIN(파라미터!$B$15,파라미터!$B$5*(IF(K26&gt;=1,파라미터!$B$10,0)+IF(K26&gt;=2,파라미터!$B$11,0)+IF(K26&gt;=3,파라미터!$B$12,0))))-IF(MOD($A26-1,파라미터!$B$22)=0,파라미터!$B$21,0)</f>
        <v/>
      </c>
      <c r="M26" s="15">
        <f>MAX(0,M25+L26)</f>
        <v/>
      </c>
      <c r="N26" s="14">
        <f>IF(OR($A26&lt;파라미터!$B$6,MOD($A26,파라미터!$B$6)&gt;=10),0,INT((10-MOD($A26,파라미터!$B$6)-1)/파라미터!$B$6)+1)</f>
        <v/>
      </c>
      <c r="O26" s="15">
        <f>((N26*파라미터!$B$5-파라미터!$B$5*(IF(N26&gt;=1,파라미터!$B$10,0)+IF(N26&gt;=2,파라미터!$B$11,0)+IF(N26&gt;=3,파라미터!$B$12,0)))+MAX(0,파라미터!$B$5*(IF(N26&gt;=1,파라미터!$B$10,0)+IF(N26&gt;=2,파라미터!$B$11,0)+IF(N26&gt;=3,파라미터!$B$12,0))-파라미터!$B$15))*파라미터!$B$16-N26*파라미터!$B$7-MAX(0,파라미터!$B$19+파라미터!$B$20-MIN(파라미터!$B$15,파라미터!$B$5*(IF(N26&gt;=1,파라미터!$B$10,0)+IF(N26&gt;=2,파라미터!$B$11,0)+IF(N26&gt;=3,파라미터!$B$12,0))))-IF(MOD($A26-1,파라미터!$B$22)=0,파라미터!$B$21,0)</f>
        <v/>
      </c>
      <c r="P26" s="15">
        <f>MAX(0,P25+O26)</f>
        <v/>
      </c>
      <c r="Q26" s="14">
        <f>IF(OR($A26&lt;파라미터!$B$6,MOD($A26,파라미터!$B$6)&gt;=20),0,INT((20-MOD($A26,파라미터!$B$6)-1)/파라미터!$B$6)+1)</f>
        <v/>
      </c>
      <c r="R26" s="15">
        <f>((Q26*파라미터!$B$5-파라미터!$B$5*(IF(Q26&gt;=1,파라미터!$B$10,0)+IF(Q26&gt;=2,파라미터!$B$11,0)+IF(Q26&gt;=3,파라미터!$B$12,0)))+MAX(0,파라미터!$B$5*(IF(Q26&gt;=1,파라미터!$B$10,0)+IF(Q26&gt;=2,파라미터!$B$11,0)+IF(Q26&gt;=3,파라미터!$B$12,0))-파라미터!$B$15))*파라미터!$B$16-Q26*파라미터!$B$7-MAX(0,파라미터!$B$19+파라미터!$B$20-MIN(파라미터!$B$15,파라미터!$B$5*(IF(Q26&gt;=1,파라미터!$B$10,0)+IF(Q26&gt;=2,파라미터!$B$11,0)+IF(Q26&gt;=3,파라미터!$B$12,0))))-IF(MOD($A26-1,파라미터!$B$22)=0,파라미터!$B$21,0)</f>
        <v/>
      </c>
      <c r="S26" s="15">
        <f>MAX(0,S25+R26)</f>
        <v/>
      </c>
    </row>
    <row r="27">
      <c r="A27" s="13" t="n">
        <v>23</v>
      </c>
      <c r="B27" s="14">
        <f>IF(OR($A27&lt;파라미터!$B$6,MOD($A27,파라미터!$B$6)&gt;=1),0,INT((1-MOD($A27,파라미터!$B$6)-1)/파라미터!$B$6)+1)</f>
        <v/>
      </c>
      <c r="C27" s="15">
        <f>((B27*파라미터!$B$5-파라미터!$B$5*(IF(B27&gt;=1,파라미터!$B$10,0)+IF(B27&gt;=2,파라미터!$B$11,0)+IF(B27&gt;=3,파라미터!$B$12,0)))+MAX(0,파라미터!$B$5*(IF(B27&gt;=1,파라미터!$B$10,0)+IF(B27&gt;=2,파라미터!$B$11,0)+IF(B27&gt;=3,파라미터!$B$12,0))-파라미터!$B$15))*파라미터!$B$16-B27*파라미터!$B$7-MAX(0,파라미터!$B$19+파라미터!$B$20-MIN(파라미터!$B$15,파라미터!$B$5*(IF(B27&gt;=1,파라미터!$B$10,0)+IF(B27&gt;=2,파라미터!$B$11,0)+IF(B27&gt;=3,파라미터!$B$12,0))))-IF(MOD($A27-1,파라미터!$B$22)=0,파라미터!$B$21,0)</f>
        <v/>
      </c>
      <c r="D27" s="15">
        <f>MAX(0,D26+C27)</f>
        <v/>
      </c>
      <c r="E27" s="14">
        <f>IF(OR($A27&lt;파라미터!$B$6,MOD($A27,파라미터!$B$6)&gt;=2),0,INT((2-MOD($A27,파라미터!$B$6)-1)/파라미터!$B$6)+1)</f>
        <v/>
      </c>
      <c r="F27" s="15">
        <f>((E27*파라미터!$B$5-파라미터!$B$5*(IF(E27&gt;=1,파라미터!$B$10,0)+IF(E27&gt;=2,파라미터!$B$11,0)+IF(E27&gt;=3,파라미터!$B$12,0)))+MAX(0,파라미터!$B$5*(IF(E27&gt;=1,파라미터!$B$10,0)+IF(E27&gt;=2,파라미터!$B$11,0)+IF(E27&gt;=3,파라미터!$B$12,0))-파라미터!$B$15))*파라미터!$B$16-E27*파라미터!$B$7-MAX(0,파라미터!$B$19+파라미터!$B$20-MIN(파라미터!$B$15,파라미터!$B$5*(IF(E27&gt;=1,파라미터!$B$10,0)+IF(E27&gt;=2,파라미터!$B$11,0)+IF(E27&gt;=3,파라미터!$B$12,0))))-IF(MOD($A27-1,파라미터!$B$22)=0,파라미터!$B$21,0)</f>
        <v/>
      </c>
      <c r="G27" s="15">
        <f>MAX(0,G26+F27)</f>
        <v/>
      </c>
      <c r="H27" s="14">
        <f>IF(OR($A27&lt;파라미터!$B$6,MOD($A27,파라미터!$B$6)&gt;=3),0,INT((3-MOD($A27,파라미터!$B$6)-1)/파라미터!$B$6)+1)</f>
        <v/>
      </c>
      <c r="I27" s="15">
        <f>((H27*파라미터!$B$5-파라미터!$B$5*(IF(H27&gt;=1,파라미터!$B$10,0)+IF(H27&gt;=2,파라미터!$B$11,0)+IF(H27&gt;=3,파라미터!$B$12,0)))+MAX(0,파라미터!$B$5*(IF(H27&gt;=1,파라미터!$B$10,0)+IF(H27&gt;=2,파라미터!$B$11,0)+IF(H27&gt;=3,파라미터!$B$12,0))-파라미터!$B$15))*파라미터!$B$16-H27*파라미터!$B$7-MAX(0,파라미터!$B$19+파라미터!$B$20-MIN(파라미터!$B$15,파라미터!$B$5*(IF(H27&gt;=1,파라미터!$B$10,0)+IF(H27&gt;=2,파라미터!$B$11,0)+IF(H27&gt;=3,파라미터!$B$12,0))))-IF(MOD($A27-1,파라미터!$B$22)=0,파라미터!$B$21,0)</f>
        <v/>
      </c>
      <c r="J27" s="15">
        <f>MAX(0,J26+I27)</f>
        <v/>
      </c>
      <c r="K27" s="14">
        <f>IF(OR($A27&lt;파라미터!$B$6,MOD($A27,파라미터!$B$6)&gt;=5),0,INT((5-MOD($A27,파라미터!$B$6)-1)/파라미터!$B$6)+1)</f>
        <v/>
      </c>
      <c r="L27" s="15">
        <f>((K27*파라미터!$B$5-파라미터!$B$5*(IF(K27&gt;=1,파라미터!$B$10,0)+IF(K27&gt;=2,파라미터!$B$11,0)+IF(K27&gt;=3,파라미터!$B$12,0)))+MAX(0,파라미터!$B$5*(IF(K27&gt;=1,파라미터!$B$10,0)+IF(K27&gt;=2,파라미터!$B$11,0)+IF(K27&gt;=3,파라미터!$B$12,0))-파라미터!$B$15))*파라미터!$B$16-K27*파라미터!$B$7-MAX(0,파라미터!$B$19+파라미터!$B$20-MIN(파라미터!$B$15,파라미터!$B$5*(IF(K27&gt;=1,파라미터!$B$10,0)+IF(K27&gt;=2,파라미터!$B$11,0)+IF(K27&gt;=3,파라미터!$B$12,0))))-IF(MOD($A27-1,파라미터!$B$22)=0,파라미터!$B$21,0)</f>
        <v/>
      </c>
      <c r="M27" s="15">
        <f>MAX(0,M26+L27)</f>
        <v/>
      </c>
      <c r="N27" s="14">
        <f>IF(OR($A27&lt;파라미터!$B$6,MOD($A27,파라미터!$B$6)&gt;=10),0,INT((10-MOD($A27,파라미터!$B$6)-1)/파라미터!$B$6)+1)</f>
        <v/>
      </c>
      <c r="O27" s="15">
        <f>((N27*파라미터!$B$5-파라미터!$B$5*(IF(N27&gt;=1,파라미터!$B$10,0)+IF(N27&gt;=2,파라미터!$B$11,0)+IF(N27&gt;=3,파라미터!$B$12,0)))+MAX(0,파라미터!$B$5*(IF(N27&gt;=1,파라미터!$B$10,0)+IF(N27&gt;=2,파라미터!$B$11,0)+IF(N27&gt;=3,파라미터!$B$12,0))-파라미터!$B$15))*파라미터!$B$16-N27*파라미터!$B$7-MAX(0,파라미터!$B$19+파라미터!$B$20-MIN(파라미터!$B$15,파라미터!$B$5*(IF(N27&gt;=1,파라미터!$B$10,0)+IF(N27&gt;=2,파라미터!$B$11,0)+IF(N27&gt;=3,파라미터!$B$12,0))))-IF(MOD($A27-1,파라미터!$B$22)=0,파라미터!$B$21,0)</f>
        <v/>
      </c>
      <c r="P27" s="15">
        <f>MAX(0,P26+O27)</f>
        <v/>
      </c>
      <c r="Q27" s="14">
        <f>IF(OR($A27&lt;파라미터!$B$6,MOD($A27,파라미터!$B$6)&gt;=20),0,INT((20-MOD($A27,파라미터!$B$6)-1)/파라미터!$B$6)+1)</f>
        <v/>
      </c>
      <c r="R27" s="15">
        <f>((Q27*파라미터!$B$5-파라미터!$B$5*(IF(Q27&gt;=1,파라미터!$B$10,0)+IF(Q27&gt;=2,파라미터!$B$11,0)+IF(Q27&gt;=3,파라미터!$B$12,0)))+MAX(0,파라미터!$B$5*(IF(Q27&gt;=1,파라미터!$B$10,0)+IF(Q27&gt;=2,파라미터!$B$11,0)+IF(Q27&gt;=3,파라미터!$B$12,0))-파라미터!$B$15))*파라미터!$B$16-Q27*파라미터!$B$7-MAX(0,파라미터!$B$19+파라미터!$B$20-MIN(파라미터!$B$15,파라미터!$B$5*(IF(Q27&gt;=1,파라미터!$B$10,0)+IF(Q27&gt;=2,파라미터!$B$11,0)+IF(Q27&gt;=3,파라미터!$B$12,0))))-IF(MOD($A27-1,파라미터!$B$22)=0,파라미터!$B$21,0)</f>
        <v/>
      </c>
      <c r="S27" s="15">
        <f>MAX(0,S26+R27)</f>
        <v/>
      </c>
    </row>
    <row r="28">
      <c r="A28" s="13" t="n">
        <v>24</v>
      </c>
      <c r="B28" s="14">
        <f>IF(OR($A28&lt;파라미터!$B$6,MOD($A28,파라미터!$B$6)&gt;=1),0,INT((1-MOD($A28,파라미터!$B$6)-1)/파라미터!$B$6)+1)</f>
        <v/>
      </c>
      <c r="C28" s="15">
        <f>((B28*파라미터!$B$5-파라미터!$B$5*(IF(B28&gt;=1,파라미터!$B$10,0)+IF(B28&gt;=2,파라미터!$B$11,0)+IF(B28&gt;=3,파라미터!$B$12,0)))+MAX(0,파라미터!$B$5*(IF(B28&gt;=1,파라미터!$B$10,0)+IF(B28&gt;=2,파라미터!$B$11,0)+IF(B28&gt;=3,파라미터!$B$12,0))-파라미터!$B$15))*파라미터!$B$16-B28*파라미터!$B$7-MAX(0,파라미터!$B$19+파라미터!$B$20-MIN(파라미터!$B$15,파라미터!$B$5*(IF(B28&gt;=1,파라미터!$B$10,0)+IF(B28&gt;=2,파라미터!$B$11,0)+IF(B28&gt;=3,파라미터!$B$12,0))))-IF(MOD($A28-1,파라미터!$B$22)=0,파라미터!$B$21,0)</f>
        <v/>
      </c>
      <c r="D28" s="15">
        <f>MAX(0,D27+C28)</f>
        <v/>
      </c>
      <c r="E28" s="14">
        <f>IF(OR($A28&lt;파라미터!$B$6,MOD($A28,파라미터!$B$6)&gt;=2),0,INT((2-MOD($A28,파라미터!$B$6)-1)/파라미터!$B$6)+1)</f>
        <v/>
      </c>
      <c r="F28" s="15">
        <f>((E28*파라미터!$B$5-파라미터!$B$5*(IF(E28&gt;=1,파라미터!$B$10,0)+IF(E28&gt;=2,파라미터!$B$11,0)+IF(E28&gt;=3,파라미터!$B$12,0)))+MAX(0,파라미터!$B$5*(IF(E28&gt;=1,파라미터!$B$10,0)+IF(E28&gt;=2,파라미터!$B$11,0)+IF(E28&gt;=3,파라미터!$B$12,0))-파라미터!$B$15))*파라미터!$B$16-E28*파라미터!$B$7-MAX(0,파라미터!$B$19+파라미터!$B$20-MIN(파라미터!$B$15,파라미터!$B$5*(IF(E28&gt;=1,파라미터!$B$10,0)+IF(E28&gt;=2,파라미터!$B$11,0)+IF(E28&gt;=3,파라미터!$B$12,0))))-IF(MOD($A28-1,파라미터!$B$22)=0,파라미터!$B$21,0)</f>
        <v/>
      </c>
      <c r="G28" s="15">
        <f>MAX(0,G27+F28)</f>
        <v/>
      </c>
      <c r="H28" s="14">
        <f>IF(OR($A28&lt;파라미터!$B$6,MOD($A28,파라미터!$B$6)&gt;=3),0,INT((3-MOD($A28,파라미터!$B$6)-1)/파라미터!$B$6)+1)</f>
        <v/>
      </c>
      <c r="I28" s="15">
        <f>((H28*파라미터!$B$5-파라미터!$B$5*(IF(H28&gt;=1,파라미터!$B$10,0)+IF(H28&gt;=2,파라미터!$B$11,0)+IF(H28&gt;=3,파라미터!$B$12,0)))+MAX(0,파라미터!$B$5*(IF(H28&gt;=1,파라미터!$B$10,0)+IF(H28&gt;=2,파라미터!$B$11,0)+IF(H28&gt;=3,파라미터!$B$12,0))-파라미터!$B$15))*파라미터!$B$16-H28*파라미터!$B$7-MAX(0,파라미터!$B$19+파라미터!$B$20-MIN(파라미터!$B$15,파라미터!$B$5*(IF(H28&gt;=1,파라미터!$B$10,0)+IF(H28&gt;=2,파라미터!$B$11,0)+IF(H28&gt;=3,파라미터!$B$12,0))))-IF(MOD($A28-1,파라미터!$B$22)=0,파라미터!$B$21,0)</f>
        <v/>
      </c>
      <c r="J28" s="15">
        <f>MAX(0,J27+I28)</f>
        <v/>
      </c>
      <c r="K28" s="14">
        <f>IF(OR($A28&lt;파라미터!$B$6,MOD($A28,파라미터!$B$6)&gt;=5),0,INT((5-MOD($A28,파라미터!$B$6)-1)/파라미터!$B$6)+1)</f>
        <v/>
      </c>
      <c r="L28" s="15">
        <f>((K28*파라미터!$B$5-파라미터!$B$5*(IF(K28&gt;=1,파라미터!$B$10,0)+IF(K28&gt;=2,파라미터!$B$11,0)+IF(K28&gt;=3,파라미터!$B$12,0)))+MAX(0,파라미터!$B$5*(IF(K28&gt;=1,파라미터!$B$10,0)+IF(K28&gt;=2,파라미터!$B$11,0)+IF(K28&gt;=3,파라미터!$B$12,0))-파라미터!$B$15))*파라미터!$B$16-K28*파라미터!$B$7-MAX(0,파라미터!$B$19+파라미터!$B$20-MIN(파라미터!$B$15,파라미터!$B$5*(IF(K28&gt;=1,파라미터!$B$10,0)+IF(K28&gt;=2,파라미터!$B$11,0)+IF(K28&gt;=3,파라미터!$B$12,0))))-IF(MOD($A28-1,파라미터!$B$22)=0,파라미터!$B$21,0)</f>
        <v/>
      </c>
      <c r="M28" s="15">
        <f>MAX(0,M27+L28)</f>
        <v/>
      </c>
      <c r="N28" s="14">
        <f>IF(OR($A28&lt;파라미터!$B$6,MOD($A28,파라미터!$B$6)&gt;=10),0,INT((10-MOD($A28,파라미터!$B$6)-1)/파라미터!$B$6)+1)</f>
        <v/>
      </c>
      <c r="O28" s="15">
        <f>((N28*파라미터!$B$5-파라미터!$B$5*(IF(N28&gt;=1,파라미터!$B$10,0)+IF(N28&gt;=2,파라미터!$B$11,0)+IF(N28&gt;=3,파라미터!$B$12,0)))+MAX(0,파라미터!$B$5*(IF(N28&gt;=1,파라미터!$B$10,0)+IF(N28&gt;=2,파라미터!$B$11,0)+IF(N28&gt;=3,파라미터!$B$12,0))-파라미터!$B$15))*파라미터!$B$16-N28*파라미터!$B$7-MAX(0,파라미터!$B$19+파라미터!$B$20-MIN(파라미터!$B$15,파라미터!$B$5*(IF(N28&gt;=1,파라미터!$B$10,0)+IF(N28&gt;=2,파라미터!$B$11,0)+IF(N28&gt;=3,파라미터!$B$12,0))))-IF(MOD($A28-1,파라미터!$B$22)=0,파라미터!$B$21,0)</f>
        <v/>
      </c>
      <c r="P28" s="15">
        <f>MAX(0,P27+O28)</f>
        <v/>
      </c>
      <c r="Q28" s="14">
        <f>IF(OR($A28&lt;파라미터!$B$6,MOD($A28,파라미터!$B$6)&gt;=20),0,INT((20-MOD($A28,파라미터!$B$6)-1)/파라미터!$B$6)+1)</f>
        <v/>
      </c>
      <c r="R28" s="15">
        <f>((Q28*파라미터!$B$5-파라미터!$B$5*(IF(Q28&gt;=1,파라미터!$B$10,0)+IF(Q28&gt;=2,파라미터!$B$11,0)+IF(Q28&gt;=3,파라미터!$B$12,0)))+MAX(0,파라미터!$B$5*(IF(Q28&gt;=1,파라미터!$B$10,0)+IF(Q28&gt;=2,파라미터!$B$11,0)+IF(Q28&gt;=3,파라미터!$B$12,0))-파라미터!$B$15))*파라미터!$B$16-Q28*파라미터!$B$7-MAX(0,파라미터!$B$19+파라미터!$B$20-MIN(파라미터!$B$15,파라미터!$B$5*(IF(Q28&gt;=1,파라미터!$B$10,0)+IF(Q28&gt;=2,파라미터!$B$11,0)+IF(Q28&gt;=3,파라미터!$B$12,0))))-IF(MOD($A28-1,파라미터!$B$22)=0,파라미터!$B$21,0)</f>
        <v/>
      </c>
      <c r="S28" s="15">
        <f>MAX(0,S27+R28)</f>
        <v/>
      </c>
    </row>
    <row r="29">
      <c r="A29" s="13" t="n">
        <v>25</v>
      </c>
      <c r="B29" s="14">
        <f>IF(OR($A29&lt;파라미터!$B$6,MOD($A29,파라미터!$B$6)&gt;=1),0,INT((1-MOD($A29,파라미터!$B$6)-1)/파라미터!$B$6)+1)</f>
        <v/>
      </c>
      <c r="C29" s="15">
        <f>((B29*파라미터!$B$5-파라미터!$B$5*(IF(B29&gt;=1,파라미터!$B$10,0)+IF(B29&gt;=2,파라미터!$B$11,0)+IF(B29&gt;=3,파라미터!$B$12,0)))+MAX(0,파라미터!$B$5*(IF(B29&gt;=1,파라미터!$B$10,0)+IF(B29&gt;=2,파라미터!$B$11,0)+IF(B29&gt;=3,파라미터!$B$12,0))-파라미터!$B$15))*파라미터!$B$16-B29*파라미터!$B$7-MAX(0,파라미터!$B$19+파라미터!$B$20-MIN(파라미터!$B$15,파라미터!$B$5*(IF(B29&gt;=1,파라미터!$B$10,0)+IF(B29&gt;=2,파라미터!$B$11,0)+IF(B29&gt;=3,파라미터!$B$12,0))))-IF(MOD($A29-1,파라미터!$B$22)=0,파라미터!$B$21,0)</f>
        <v/>
      </c>
      <c r="D29" s="15">
        <f>MAX(0,D28+C29)</f>
        <v/>
      </c>
      <c r="E29" s="14">
        <f>IF(OR($A29&lt;파라미터!$B$6,MOD($A29,파라미터!$B$6)&gt;=2),0,INT((2-MOD($A29,파라미터!$B$6)-1)/파라미터!$B$6)+1)</f>
        <v/>
      </c>
      <c r="F29" s="15">
        <f>((E29*파라미터!$B$5-파라미터!$B$5*(IF(E29&gt;=1,파라미터!$B$10,0)+IF(E29&gt;=2,파라미터!$B$11,0)+IF(E29&gt;=3,파라미터!$B$12,0)))+MAX(0,파라미터!$B$5*(IF(E29&gt;=1,파라미터!$B$10,0)+IF(E29&gt;=2,파라미터!$B$11,0)+IF(E29&gt;=3,파라미터!$B$12,0))-파라미터!$B$15))*파라미터!$B$16-E29*파라미터!$B$7-MAX(0,파라미터!$B$19+파라미터!$B$20-MIN(파라미터!$B$15,파라미터!$B$5*(IF(E29&gt;=1,파라미터!$B$10,0)+IF(E29&gt;=2,파라미터!$B$11,0)+IF(E29&gt;=3,파라미터!$B$12,0))))-IF(MOD($A29-1,파라미터!$B$22)=0,파라미터!$B$21,0)</f>
        <v/>
      </c>
      <c r="G29" s="15">
        <f>MAX(0,G28+F29)</f>
        <v/>
      </c>
      <c r="H29" s="14">
        <f>IF(OR($A29&lt;파라미터!$B$6,MOD($A29,파라미터!$B$6)&gt;=3),0,INT((3-MOD($A29,파라미터!$B$6)-1)/파라미터!$B$6)+1)</f>
        <v/>
      </c>
      <c r="I29" s="15">
        <f>((H29*파라미터!$B$5-파라미터!$B$5*(IF(H29&gt;=1,파라미터!$B$10,0)+IF(H29&gt;=2,파라미터!$B$11,0)+IF(H29&gt;=3,파라미터!$B$12,0)))+MAX(0,파라미터!$B$5*(IF(H29&gt;=1,파라미터!$B$10,0)+IF(H29&gt;=2,파라미터!$B$11,0)+IF(H29&gt;=3,파라미터!$B$12,0))-파라미터!$B$15))*파라미터!$B$16-H29*파라미터!$B$7-MAX(0,파라미터!$B$19+파라미터!$B$20-MIN(파라미터!$B$15,파라미터!$B$5*(IF(H29&gt;=1,파라미터!$B$10,0)+IF(H29&gt;=2,파라미터!$B$11,0)+IF(H29&gt;=3,파라미터!$B$12,0))))-IF(MOD($A29-1,파라미터!$B$22)=0,파라미터!$B$21,0)</f>
        <v/>
      </c>
      <c r="J29" s="15">
        <f>MAX(0,J28+I29)</f>
        <v/>
      </c>
      <c r="K29" s="14">
        <f>IF(OR($A29&lt;파라미터!$B$6,MOD($A29,파라미터!$B$6)&gt;=5),0,INT((5-MOD($A29,파라미터!$B$6)-1)/파라미터!$B$6)+1)</f>
        <v/>
      </c>
      <c r="L29" s="15">
        <f>((K29*파라미터!$B$5-파라미터!$B$5*(IF(K29&gt;=1,파라미터!$B$10,0)+IF(K29&gt;=2,파라미터!$B$11,0)+IF(K29&gt;=3,파라미터!$B$12,0)))+MAX(0,파라미터!$B$5*(IF(K29&gt;=1,파라미터!$B$10,0)+IF(K29&gt;=2,파라미터!$B$11,0)+IF(K29&gt;=3,파라미터!$B$12,0))-파라미터!$B$15))*파라미터!$B$16-K29*파라미터!$B$7-MAX(0,파라미터!$B$19+파라미터!$B$20-MIN(파라미터!$B$15,파라미터!$B$5*(IF(K29&gt;=1,파라미터!$B$10,0)+IF(K29&gt;=2,파라미터!$B$11,0)+IF(K29&gt;=3,파라미터!$B$12,0))))-IF(MOD($A29-1,파라미터!$B$22)=0,파라미터!$B$21,0)</f>
        <v/>
      </c>
      <c r="M29" s="15">
        <f>MAX(0,M28+L29)</f>
        <v/>
      </c>
      <c r="N29" s="14">
        <f>IF(OR($A29&lt;파라미터!$B$6,MOD($A29,파라미터!$B$6)&gt;=10),0,INT((10-MOD($A29,파라미터!$B$6)-1)/파라미터!$B$6)+1)</f>
        <v/>
      </c>
      <c r="O29" s="15">
        <f>((N29*파라미터!$B$5-파라미터!$B$5*(IF(N29&gt;=1,파라미터!$B$10,0)+IF(N29&gt;=2,파라미터!$B$11,0)+IF(N29&gt;=3,파라미터!$B$12,0)))+MAX(0,파라미터!$B$5*(IF(N29&gt;=1,파라미터!$B$10,0)+IF(N29&gt;=2,파라미터!$B$11,0)+IF(N29&gt;=3,파라미터!$B$12,0))-파라미터!$B$15))*파라미터!$B$16-N29*파라미터!$B$7-MAX(0,파라미터!$B$19+파라미터!$B$20-MIN(파라미터!$B$15,파라미터!$B$5*(IF(N29&gt;=1,파라미터!$B$10,0)+IF(N29&gt;=2,파라미터!$B$11,0)+IF(N29&gt;=3,파라미터!$B$12,0))))-IF(MOD($A29-1,파라미터!$B$22)=0,파라미터!$B$21,0)</f>
        <v/>
      </c>
      <c r="P29" s="15">
        <f>MAX(0,P28+O29)</f>
        <v/>
      </c>
      <c r="Q29" s="14">
        <f>IF(OR($A29&lt;파라미터!$B$6,MOD($A29,파라미터!$B$6)&gt;=20),0,INT((20-MOD($A29,파라미터!$B$6)-1)/파라미터!$B$6)+1)</f>
        <v/>
      </c>
      <c r="R29" s="15">
        <f>((Q29*파라미터!$B$5-파라미터!$B$5*(IF(Q29&gt;=1,파라미터!$B$10,0)+IF(Q29&gt;=2,파라미터!$B$11,0)+IF(Q29&gt;=3,파라미터!$B$12,0)))+MAX(0,파라미터!$B$5*(IF(Q29&gt;=1,파라미터!$B$10,0)+IF(Q29&gt;=2,파라미터!$B$11,0)+IF(Q29&gt;=3,파라미터!$B$12,0))-파라미터!$B$15))*파라미터!$B$16-Q29*파라미터!$B$7-MAX(0,파라미터!$B$19+파라미터!$B$20-MIN(파라미터!$B$15,파라미터!$B$5*(IF(Q29&gt;=1,파라미터!$B$10,0)+IF(Q29&gt;=2,파라미터!$B$11,0)+IF(Q29&gt;=3,파라미터!$B$12,0))))-IF(MOD($A29-1,파라미터!$B$22)=0,파라미터!$B$21,0)</f>
        <v/>
      </c>
      <c r="S29" s="15">
        <f>MAX(0,S28+R29)</f>
        <v/>
      </c>
    </row>
    <row r="30">
      <c r="A30" s="13" t="n">
        <v>26</v>
      </c>
      <c r="B30" s="14">
        <f>IF(OR($A30&lt;파라미터!$B$6,MOD($A30,파라미터!$B$6)&gt;=1),0,INT((1-MOD($A30,파라미터!$B$6)-1)/파라미터!$B$6)+1)</f>
        <v/>
      </c>
      <c r="C30" s="15">
        <f>((B30*파라미터!$B$5-파라미터!$B$5*(IF(B30&gt;=1,파라미터!$B$10,0)+IF(B30&gt;=2,파라미터!$B$11,0)+IF(B30&gt;=3,파라미터!$B$12,0)))+MAX(0,파라미터!$B$5*(IF(B30&gt;=1,파라미터!$B$10,0)+IF(B30&gt;=2,파라미터!$B$11,0)+IF(B30&gt;=3,파라미터!$B$12,0))-파라미터!$B$15))*파라미터!$B$16-B30*파라미터!$B$7-MAX(0,파라미터!$B$19+파라미터!$B$20-MIN(파라미터!$B$15,파라미터!$B$5*(IF(B30&gt;=1,파라미터!$B$10,0)+IF(B30&gt;=2,파라미터!$B$11,0)+IF(B30&gt;=3,파라미터!$B$12,0))))-IF(MOD($A30-1,파라미터!$B$22)=0,파라미터!$B$21,0)</f>
        <v/>
      </c>
      <c r="D30" s="15">
        <f>MAX(0,D29+C30)</f>
        <v/>
      </c>
      <c r="E30" s="14">
        <f>IF(OR($A30&lt;파라미터!$B$6,MOD($A30,파라미터!$B$6)&gt;=2),0,INT((2-MOD($A30,파라미터!$B$6)-1)/파라미터!$B$6)+1)</f>
        <v/>
      </c>
      <c r="F30" s="15">
        <f>((E30*파라미터!$B$5-파라미터!$B$5*(IF(E30&gt;=1,파라미터!$B$10,0)+IF(E30&gt;=2,파라미터!$B$11,0)+IF(E30&gt;=3,파라미터!$B$12,0)))+MAX(0,파라미터!$B$5*(IF(E30&gt;=1,파라미터!$B$10,0)+IF(E30&gt;=2,파라미터!$B$11,0)+IF(E30&gt;=3,파라미터!$B$12,0))-파라미터!$B$15))*파라미터!$B$16-E30*파라미터!$B$7-MAX(0,파라미터!$B$19+파라미터!$B$20-MIN(파라미터!$B$15,파라미터!$B$5*(IF(E30&gt;=1,파라미터!$B$10,0)+IF(E30&gt;=2,파라미터!$B$11,0)+IF(E30&gt;=3,파라미터!$B$12,0))))-IF(MOD($A30-1,파라미터!$B$22)=0,파라미터!$B$21,0)</f>
        <v/>
      </c>
      <c r="G30" s="15">
        <f>MAX(0,G29+F30)</f>
        <v/>
      </c>
      <c r="H30" s="14">
        <f>IF(OR($A30&lt;파라미터!$B$6,MOD($A30,파라미터!$B$6)&gt;=3),0,INT((3-MOD($A30,파라미터!$B$6)-1)/파라미터!$B$6)+1)</f>
        <v/>
      </c>
      <c r="I30" s="15">
        <f>((H30*파라미터!$B$5-파라미터!$B$5*(IF(H30&gt;=1,파라미터!$B$10,0)+IF(H30&gt;=2,파라미터!$B$11,0)+IF(H30&gt;=3,파라미터!$B$12,0)))+MAX(0,파라미터!$B$5*(IF(H30&gt;=1,파라미터!$B$10,0)+IF(H30&gt;=2,파라미터!$B$11,0)+IF(H30&gt;=3,파라미터!$B$12,0))-파라미터!$B$15))*파라미터!$B$16-H30*파라미터!$B$7-MAX(0,파라미터!$B$19+파라미터!$B$20-MIN(파라미터!$B$15,파라미터!$B$5*(IF(H30&gt;=1,파라미터!$B$10,0)+IF(H30&gt;=2,파라미터!$B$11,0)+IF(H30&gt;=3,파라미터!$B$12,0))))-IF(MOD($A30-1,파라미터!$B$22)=0,파라미터!$B$21,0)</f>
        <v/>
      </c>
      <c r="J30" s="15">
        <f>MAX(0,J29+I30)</f>
        <v/>
      </c>
      <c r="K30" s="14">
        <f>IF(OR($A30&lt;파라미터!$B$6,MOD($A30,파라미터!$B$6)&gt;=5),0,INT((5-MOD($A30,파라미터!$B$6)-1)/파라미터!$B$6)+1)</f>
        <v/>
      </c>
      <c r="L30" s="15">
        <f>((K30*파라미터!$B$5-파라미터!$B$5*(IF(K30&gt;=1,파라미터!$B$10,0)+IF(K30&gt;=2,파라미터!$B$11,0)+IF(K30&gt;=3,파라미터!$B$12,0)))+MAX(0,파라미터!$B$5*(IF(K30&gt;=1,파라미터!$B$10,0)+IF(K30&gt;=2,파라미터!$B$11,0)+IF(K30&gt;=3,파라미터!$B$12,0))-파라미터!$B$15))*파라미터!$B$16-K30*파라미터!$B$7-MAX(0,파라미터!$B$19+파라미터!$B$20-MIN(파라미터!$B$15,파라미터!$B$5*(IF(K30&gt;=1,파라미터!$B$10,0)+IF(K30&gt;=2,파라미터!$B$11,0)+IF(K30&gt;=3,파라미터!$B$12,0))))-IF(MOD($A30-1,파라미터!$B$22)=0,파라미터!$B$21,0)</f>
        <v/>
      </c>
      <c r="M30" s="15">
        <f>MAX(0,M29+L30)</f>
        <v/>
      </c>
      <c r="N30" s="14">
        <f>IF(OR($A30&lt;파라미터!$B$6,MOD($A30,파라미터!$B$6)&gt;=10),0,INT((10-MOD($A30,파라미터!$B$6)-1)/파라미터!$B$6)+1)</f>
        <v/>
      </c>
      <c r="O30" s="15">
        <f>((N30*파라미터!$B$5-파라미터!$B$5*(IF(N30&gt;=1,파라미터!$B$10,0)+IF(N30&gt;=2,파라미터!$B$11,0)+IF(N30&gt;=3,파라미터!$B$12,0)))+MAX(0,파라미터!$B$5*(IF(N30&gt;=1,파라미터!$B$10,0)+IF(N30&gt;=2,파라미터!$B$11,0)+IF(N30&gt;=3,파라미터!$B$12,0))-파라미터!$B$15))*파라미터!$B$16-N30*파라미터!$B$7-MAX(0,파라미터!$B$19+파라미터!$B$20-MIN(파라미터!$B$15,파라미터!$B$5*(IF(N30&gt;=1,파라미터!$B$10,0)+IF(N30&gt;=2,파라미터!$B$11,0)+IF(N30&gt;=3,파라미터!$B$12,0))))-IF(MOD($A30-1,파라미터!$B$22)=0,파라미터!$B$21,0)</f>
        <v/>
      </c>
      <c r="P30" s="15">
        <f>MAX(0,P29+O30)</f>
        <v/>
      </c>
      <c r="Q30" s="14">
        <f>IF(OR($A30&lt;파라미터!$B$6,MOD($A30,파라미터!$B$6)&gt;=20),0,INT((20-MOD($A30,파라미터!$B$6)-1)/파라미터!$B$6)+1)</f>
        <v/>
      </c>
      <c r="R30" s="15">
        <f>((Q30*파라미터!$B$5-파라미터!$B$5*(IF(Q30&gt;=1,파라미터!$B$10,0)+IF(Q30&gt;=2,파라미터!$B$11,0)+IF(Q30&gt;=3,파라미터!$B$12,0)))+MAX(0,파라미터!$B$5*(IF(Q30&gt;=1,파라미터!$B$10,0)+IF(Q30&gt;=2,파라미터!$B$11,0)+IF(Q30&gt;=3,파라미터!$B$12,0))-파라미터!$B$15))*파라미터!$B$16-Q30*파라미터!$B$7-MAX(0,파라미터!$B$19+파라미터!$B$20-MIN(파라미터!$B$15,파라미터!$B$5*(IF(Q30&gt;=1,파라미터!$B$10,0)+IF(Q30&gt;=2,파라미터!$B$11,0)+IF(Q30&gt;=3,파라미터!$B$12,0))))-IF(MOD($A30-1,파라미터!$B$22)=0,파라미터!$B$21,0)</f>
        <v/>
      </c>
      <c r="S30" s="15">
        <f>MAX(0,S29+R30)</f>
        <v/>
      </c>
    </row>
    <row r="31">
      <c r="A31" s="13" t="n">
        <v>27</v>
      </c>
      <c r="B31" s="14">
        <f>IF(OR($A31&lt;파라미터!$B$6,MOD($A31,파라미터!$B$6)&gt;=1),0,INT((1-MOD($A31,파라미터!$B$6)-1)/파라미터!$B$6)+1)</f>
        <v/>
      </c>
      <c r="C31" s="15">
        <f>((B31*파라미터!$B$5-파라미터!$B$5*(IF(B31&gt;=1,파라미터!$B$10,0)+IF(B31&gt;=2,파라미터!$B$11,0)+IF(B31&gt;=3,파라미터!$B$12,0)))+MAX(0,파라미터!$B$5*(IF(B31&gt;=1,파라미터!$B$10,0)+IF(B31&gt;=2,파라미터!$B$11,0)+IF(B31&gt;=3,파라미터!$B$12,0))-파라미터!$B$15))*파라미터!$B$16-B31*파라미터!$B$7-MAX(0,파라미터!$B$19+파라미터!$B$20-MIN(파라미터!$B$15,파라미터!$B$5*(IF(B31&gt;=1,파라미터!$B$10,0)+IF(B31&gt;=2,파라미터!$B$11,0)+IF(B31&gt;=3,파라미터!$B$12,0))))-IF(MOD($A31-1,파라미터!$B$22)=0,파라미터!$B$21,0)</f>
        <v/>
      </c>
      <c r="D31" s="15">
        <f>MAX(0,D30+C31)</f>
        <v/>
      </c>
      <c r="E31" s="14">
        <f>IF(OR($A31&lt;파라미터!$B$6,MOD($A31,파라미터!$B$6)&gt;=2),0,INT((2-MOD($A31,파라미터!$B$6)-1)/파라미터!$B$6)+1)</f>
        <v/>
      </c>
      <c r="F31" s="15">
        <f>((E31*파라미터!$B$5-파라미터!$B$5*(IF(E31&gt;=1,파라미터!$B$10,0)+IF(E31&gt;=2,파라미터!$B$11,0)+IF(E31&gt;=3,파라미터!$B$12,0)))+MAX(0,파라미터!$B$5*(IF(E31&gt;=1,파라미터!$B$10,0)+IF(E31&gt;=2,파라미터!$B$11,0)+IF(E31&gt;=3,파라미터!$B$12,0))-파라미터!$B$15))*파라미터!$B$16-E31*파라미터!$B$7-MAX(0,파라미터!$B$19+파라미터!$B$20-MIN(파라미터!$B$15,파라미터!$B$5*(IF(E31&gt;=1,파라미터!$B$10,0)+IF(E31&gt;=2,파라미터!$B$11,0)+IF(E31&gt;=3,파라미터!$B$12,0))))-IF(MOD($A31-1,파라미터!$B$22)=0,파라미터!$B$21,0)</f>
        <v/>
      </c>
      <c r="G31" s="15">
        <f>MAX(0,G30+F31)</f>
        <v/>
      </c>
      <c r="H31" s="14">
        <f>IF(OR($A31&lt;파라미터!$B$6,MOD($A31,파라미터!$B$6)&gt;=3),0,INT((3-MOD($A31,파라미터!$B$6)-1)/파라미터!$B$6)+1)</f>
        <v/>
      </c>
      <c r="I31" s="15">
        <f>((H31*파라미터!$B$5-파라미터!$B$5*(IF(H31&gt;=1,파라미터!$B$10,0)+IF(H31&gt;=2,파라미터!$B$11,0)+IF(H31&gt;=3,파라미터!$B$12,0)))+MAX(0,파라미터!$B$5*(IF(H31&gt;=1,파라미터!$B$10,0)+IF(H31&gt;=2,파라미터!$B$11,0)+IF(H31&gt;=3,파라미터!$B$12,0))-파라미터!$B$15))*파라미터!$B$16-H31*파라미터!$B$7-MAX(0,파라미터!$B$19+파라미터!$B$20-MIN(파라미터!$B$15,파라미터!$B$5*(IF(H31&gt;=1,파라미터!$B$10,0)+IF(H31&gt;=2,파라미터!$B$11,0)+IF(H31&gt;=3,파라미터!$B$12,0))))-IF(MOD($A31-1,파라미터!$B$22)=0,파라미터!$B$21,0)</f>
        <v/>
      </c>
      <c r="J31" s="15">
        <f>MAX(0,J30+I31)</f>
        <v/>
      </c>
      <c r="K31" s="14">
        <f>IF(OR($A31&lt;파라미터!$B$6,MOD($A31,파라미터!$B$6)&gt;=5),0,INT((5-MOD($A31,파라미터!$B$6)-1)/파라미터!$B$6)+1)</f>
        <v/>
      </c>
      <c r="L31" s="15">
        <f>((K31*파라미터!$B$5-파라미터!$B$5*(IF(K31&gt;=1,파라미터!$B$10,0)+IF(K31&gt;=2,파라미터!$B$11,0)+IF(K31&gt;=3,파라미터!$B$12,0)))+MAX(0,파라미터!$B$5*(IF(K31&gt;=1,파라미터!$B$10,0)+IF(K31&gt;=2,파라미터!$B$11,0)+IF(K31&gt;=3,파라미터!$B$12,0))-파라미터!$B$15))*파라미터!$B$16-K31*파라미터!$B$7-MAX(0,파라미터!$B$19+파라미터!$B$20-MIN(파라미터!$B$15,파라미터!$B$5*(IF(K31&gt;=1,파라미터!$B$10,0)+IF(K31&gt;=2,파라미터!$B$11,0)+IF(K31&gt;=3,파라미터!$B$12,0))))-IF(MOD($A31-1,파라미터!$B$22)=0,파라미터!$B$21,0)</f>
        <v/>
      </c>
      <c r="M31" s="15">
        <f>MAX(0,M30+L31)</f>
        <v/>
      </c>
      <c r="N31" s="14">
        <f>IF(OR($A31&lt;파라미터!$B$6,MOD($A31,파라미터!$B$6)&gt;=10),0,INT((10-MOD($A31,파라미터!$B$6)-1)/파라미터!$B$6)+1)</f>
        <v/>
      </c>
      <c r="O31" s="15">
        <f>((N31*파라미터!$B$5-파라미터!$B$5*(IF(N31&gt;=1,파라미터!$B$10,0)+IF(N31&gt;=2,파라미터!$B$11,0)+IF(N31&gt;=3,파라미터!$B$12,0)))+MAX(0,파라미터!$B$5*(IF(N31&gt;=1,파라미터!$B$10,0)+IF(N31&gt;=2,파라미터!$B$11,0)+IF(N31&gt;=3,파라미터!$B$12,0))-파라미터!$B$15))*파라미터!$B$16-N31*파라미터!$B$7-MAX(0,파라미터!$B$19+파라미터!$B$20-MIN(파라미터!$B$15,파라미터!$B$5*(IF(N31&gt;=1,파라미터!$B$10,0)+IF(N31&gt;=2,파라미터!$B$11,0)+IF(N31&gt;=3,파라미터!$B$12,0))))-IF(MOD($A31-1,파라미터!$B$22)=0,파라미터!$B$21,0)</f>
        <v/>
      </c>
      <c r="P31" s="15">
        <f>MAX(0,P30+O31)</f>
        <v/>
      </c>
      <c r="Q31" s="14">
        <f>IF(OR($A31&lt;파라미터!$B$6,MOD($A31,파라미터!$B$6)&gt;=20),0,INT((20-MOD($A31,파라미터!$B$6)-1)/파라미터!$B$6)+1)</f>
        <v/>
      </c>
      <c r="R31" s="15">
        <f>((Q31*파라미터!$B$5-파라미터!$B$5*(IF(Q31&gt;=1,파라미터!$B$10,0)+IF(Q31&gt;=2,파라미터!$B$11,0)+IF(Q31&gt;=3,파라미터!$B$12,0)))+MAX(0,파라미터!$B$5*(IF(Q31&gt;=1,파라미터!$B$10,0)+IF(Q31&gt;=2,파라미터!$B$11,0)+IF(Q31&gt;=3,파라미터!$B$12,0))-파라미터!$B$15))*파라미터!$B$16-Q31*파라미터!$B$7-MAX(0,파라미터!$B$19+파라미터!$B$20-MIN(파라미터!$B$15,파라미터!$B$5*(IF(Q31&gt;=1,파라미터!$B$10,0)+IF(Q31&gt;=2,파라미터!$B$11,0)+IF(Q31&gt;=3,파라미터!$B$12,0))))-IF(MOD($A31-1,파라미터!$B$22)=0,파라미터!$B$21,0)</f>
        <v/>
      </c>
      <c r="S31" s="15">
        <f>MAX(0,S30+R31)</f>
        <v/>
      </c>
    </row>
    <row r="32">
      <c r="A32" s="13" t="n">
        <v>28</v>
      </c>
      <c r="B32" s="14">
        <f>IF(OR($A32&lt;파라미터!$B$6,MOD($A32,파라미터!$B$6)&gt;=1),0,INT((1-MOD($A32,파라미터!$B$6)-1)/파라미터!$B$6)+1)</f>
        <v/>
      </c>
      <c r="C32" s="15">
        <f>((B32*파라미터!$B$5-파라미터!$B$5*(IF(B32&gt;=1,파라미터!$B$10,0)+IF(B32&gt;=2,파라미터!$B$11,0)+IF(B32&gt;=3,파라미터!$B$12,0)))+MAX(0,파라미터!$B$5*(IF(B32&gt;=1,파라미터!$B$10,0)+IF(B32&gt;=2,파라미터!$B$11,0)+IF(B32&gt;=3,파라미터!$B$12,0))-파라미터!$B$15))*파라미터!$B$16-B32*파라미터!$B$7-MAX(0,파라미터!$B$19+파라미터!$B$20-MIN(파라미터!$B$15,파라미터!$B$5*(IF(B32&gt;=1,파라미터!$B$10,0)+IF(B32&gt;=2,파라미터!$B$11,0)+IF(B32&gt;=3,파라미터!$B$12,0))))-IF(MOD($A32-1,파라미터!$B$22)=0,파라미터!$B$21,0)</f>
        <v/>
      </c>
      <c r="D32" s="15">
        <f>MAX(0,D31+C32)</f>
        <v/>
      </c>
      <c r="E32" s="14">
        <f>IF(OR($A32&lt;파라미터!$B$6,MOD($A32,파라미터!$B$6)&gt;=2),0,INT((2-MOD($A32,파라미터!$B$6)-1)/파라미터!$B$6)+1)</f>
        <v/>
      </c>
      <c r="F32" s="15">
        <f>((E32*파라미터!$B$5-파라미터!$B$5*(IF(E32&gt;=1,파라미터!$B$10,0)+IF(E32&gt;=2,파라미터!$B$11,0)+IF(E32&gt;=3,파라미터!$B$12,0)))+MAX(0,파라미터!$B$5*(IF(E32&gt;=1,파라미터!$B$10,0)+IF(E32&gt;=2,파라미터!$B$11,0)+IF(E32&gt;=3,파라미터!$B$12,0))-파라미터!$B$15))*파라미터!$B$16-E32*파라미터!$B$7-MAX(0,파라미터!$B$19+파라미터!$B$20-MIN(파라미터!$B$15,파라미터!$B$5*(IF(E32&gt;=1,파라미터!$B$10,0)+IF(E32&gt;=2,파라미터!$B$11,0)+IF(E32&gt;=3,파라미터!$B$12,0))))-IF(MOD($A32-1,파라미터!$B$22)=0,파라미터!$B$21,0)</f>
        <v/>
      </c>
      <c r="G32" s="15">
        <f>MAX(0,G31+F32)</f>
        <v/>
      </c>
      <c r="H32" s="14">
        <f>IF(OR($A32&lt;파라미터!$B$6,MOD($A32,파라미터!$B$6)&gt;=3),0,INT((3-MOD($A32,파라미터!$B$6)-1)/파라미터!$B$6)+1)</f>
        <v/>
      </c>
      <c r="I32" s="15">
        <f>((H32*파라미터!$B$5-파라미터!$B$5*(IF(H32&gt;=1,파라미터!$B$10,0)+IF(H32&gt;=2,파라미터!$B$11,0)+IF(H32&gt;=3,파라미터!$B$12,0)))+MAX(0,파라미터!$B$5*(IF(H32&gt;=1,파라미터!$B$10,0)+IF(H32&gt;=2,파라미터!$B$11,0)+IF(H32&gt;=3,파라미터!$B$12,0))-파라미터!$B$15))*파라미터!$B$16-H32*파라미터!$B$7-MAX(0,파라미터!$B$19+파라미터!$B$20-MIN(파라미터!$B$15,파라미터!$B$5*(IF(H32&gt;=1,파라미터!$B$10,0)+IF(H32&gt;=2,파라미터!$B$11,0)+IF(H32&gt;=3,파라미터!$B$12,0))))-IF(MOD($A32-1,파라미터!$B$22)=0,파라미터!$B$21,0)</f>
        <v/>
      </c>
      <c r="J32" s="15">
        <f>MAX(0,J31+I32)</f>
        <v/>
      </c>
      <c r="K32" s="14">
        <f>IF(OR($A32&lt;파라미터!$B$6,MOD($A32,파라미터!$B$6)&gt;=5),0,INT((5-MOD($A32,파라미터!$B$6)-1)/파라미터!$B$6)+1)</f>
        <v/>
      </c>
      <c r="L32" s="15">
        <f>((K32*파라미터!$B$5-파라미터!$B$5*(IF(K32&gt;=1,파라미터!$B$10,0)+IF(K32&gt;=2,파라미터!$B$11,0)+IF(K32&gt;=3,파라미터!$B$12,0)))+MAX(0,파라미터!$B$5*(IF(K32&gt;=1,파라미터!$B$10,0)+IF(K32&gt;=2,파라미터!$B$11,0)+IF(K32&gt;=3,파라미터!$B$12,0))-파라미터!$B$15))*파라미터!$B$16-K32*파라미터!$B$7-MAX(0,파라미터!$B$19+파라미터!$B$20-MIN(파라미터!$B$15,파라미터!$B$5*(IF(K32&gt;=1,파라미터!$B$10,0)+IF(K32&gt;=2,파라미터!$B$11,0)+IF(K32&gt;=3,파라미터!$B$12,0))))-IF(MOD($A32-1,파라미터!$B$22)=0,파라미터!$B$21,0)</f>
        <v/>
      </c>
      <c r="M32" s="15">
        <f>MAX(0,M31+L32)</f>
        <v/>
      </c>
      <c r="N32" s="14">
        <f>IF(OR($A32&lt;파라미터!$B$6,MOD($A32,파라미터!$B$6)&gt;=10),0,INT((10-MOD($A32,파라미터!$B$6)-1)/파라미터!$B$6)+1)</f>
        <v/>
      </c>
      <c r="O32" s="15">
        <f>((N32*파라미터!$B$5-파라미터!$B$5*(IF(N32&gt;=1,파라미터!$B$10,0)+IF(N32&gt;=2,파라미터!$B$11,0)+IF(N32&gt;=3,파라미터!$B$12,0)))+MAX(0,파라미터!$B$5*(IF(N32&gt;=1,파라미터!$B$10,0)+IF(N32&gt;=2,파라미터!$B$11,0)+IF(N32&gt;=3,파라미터!$B$12,0))-파라미터!$B$15))*파라미터!$B$16-N32*파라미터!$B$7-MAX(0,파라미터!$B$19+파라미터!$B$20-MIN(파라미터!$B$15,파라미터!$B$5*(IF(N32&gt;=1,파라미터!$B$10,0)+IF(N32&gt;=2,파라미터!$B$11,0)+IF(N32&gt;=3,파라미터!$B$12,0))))-IF(MOD($A32-1,파라미터!$B$22)=0,파라미터!$B$21,0)</f>
        <v/>
      </c>
      <c r="P32" s="15">
        <f>MAX(0,P31+O32)</f>
        <v/>
      </c>
      <c r="Q32" s="14">
        <f>IF(OR($A32&lt;파라미터!$B$6,MOD($A32,파라미터!$B$6)&gt;=20),0,INT((20-MOD($A32,파라미터!$B$6)-1)/파라미터!$B$6)+1)</f>
        <v/>
      </c>
      <c r="R32" s="15">
        <f>((Q32*파라미터!$B$5-파라미터!$B$5*(IF(Q32&gt;=1,파라미터!$B$10,0)+IF(Q32&gt;=2,파라미터!$B$11,0)+IF(Q32&gt;=3,파라미터!$B$12,0)))+MAX(0,파라미터!$B$5*(IF(Q32&gt;=1,파라미터!$B$10,0)+IF(Q32&gt;=2,파라미터!$B$11,0)+IF(Q32&gt;=3,파라미터!$B$12,0))-파라미터!$B$15))*파라미터!$B$16-Q32*파라미터!$B$7-MAX(0,파라미터!$B$19+파라미터!$B$20-MIN(파라미터!$B$15,파라미터!$B$5*(IF(Q32&gt;=1,파라미터!$B$10,0)+IF(Q32&gt;=2,파라미터!$B$11,0)+IF(Q32&gt;=3,파라미터!$B$12,0))))-IF(MOD($A32-1,파라미터!$B$22)=0,파라미터!$B$21,0)</f>
        <v/>
      </c>
      <c r="S32" s="15">
        <f>MAX(0,S31+R32)</f>
        <v/>
      </c>
    </row>
    <row r="33">
      <c r="A33" s="13" t="n">
        <v>29</v>
      </c>
      <c r="B33" s="14">
        <f>IF(OR($A33&lt;파라미터!$B$6,MOD($A33,파라미터!$B$6)&gt;=1),0,INT((1-MOD($A33,파라미터!$B$6)-1)/파라미터!$B$6)+1)</f>
        <v/>
      </c>
      <c r="C33" s="15">
        <f>((B33*파라미터!$B$5-파라미터!$B$5*(IF(B33&gt;=1,파라미터!$B$10,0)+IF(B33&gt;=2,파라미터!$B$11,0)+IF(B33&gt;=3,파라미터!$B$12,0)))+MAX(0,파라미터!$B$5*(IF(B33&gt;=1,파라미터!$B$10,0)+IF(B33&gt;=2,파라미터!$B$11,0)+IF(B33&gt;=3,파라미터!$B$12,0))-파라미터!$B$15))*파라미터!$B$16-B33*파라미터!$B$7-MAX(0,파라미터!$B$19+파라미터!$B$20-MIN(파라미터!$B$15,파라미터!$B$5*(IF(B33&gt;=1,파라미터!$B$10,0)+IF(B33&gt;=2,파라미터!$B$11,0)+IF(B33&gt;=3,파라미터!$B$12,0))))-IF(MOD($A33-1,파라미터!$B$22)=0,파라미터!$B$21,0)</f>
        <v/>
      </c>
      <c r="D33" s="15">
        <f>MAX(0,D32+C33)</f>
        <v/>
      </c>
      <c r="E33" s="14">
        <f>IF(OR($A33&lt;파라미터!$B$6,MOD($A33,파라미터!$B$6)&gt;=2),0,INT((2-MOD($A33,파라미터!$B$6)-1)/파라미터!$B$6)+1)</f>
        <v/>
      </c>
      <c r="F33" s="15">
        <f>((E33*파라미터!$B$5-파라미터!$B$5*(IF(E33&gt;=1,파라미터!$B$10,0)+IF(E33&gt;=2,파라미터!$B$11,0)+IF(E33&gt;=3,파라미터!$B$12,0)))+MAX(0,파라미터!$B$5*(IF(E33&gt;=1,파라미터!$B$10,0)+IF(E33&gt;=2,파라미터!$B$11,0)+IF(E33&gt;=3,파라미터!$B$12,0))-파라미터!$B$15))*파라미터!$B$16-E33*파라미터!$B$7-MAX(0,파라미터!$B$19+파라미터!$B$20-MIN(파라미터!$B$15,파라미터!$B$5*(IF(E33&gt;=1,파라미터!$B$10,0)+IF(E33&gt;=2,파라미터!$B$11,0)+IF(E33&gt;=3,파라미터!$B$12,0))))-IF(MOD($A33-1,파라미터!$B$22)=0,파라미터!$B$21,0)</f>
        <v/>
      </c>
      <c r="G33" s="15">
        <f>MAX(0,G32+F33)</f>
        <v/>
      </c>
      <c r="H33" s="14">
        <f>IF(OR($A33&lt;파라미터!$B$6,MOD($A33,파라미터!$B$6)&gt;=3),0,INT((3-MOD($A33,파라미터!$B$6)-1)/파라미터!$B$6)+1)</f>
        <v/>
      </c>
      <c r="I33" s="15">
        <f>((H33*파라미터!$B$5-파라미터!$B$5*(IF(H33&gt;=1,파라미터!$B$10,0)+IF(H33&gt;=2,파라미터!$B$11,0)+IF(H33&gt;=3,파라미터!$B$12,0)))+MAX(0,파라미터!$B$5*(IF(H33&gt;=1,파라미터!$B$10,0)+IF(H33&gt;=2,파라미터!$B$11,0)+IF(H33&gt;=3,파라미터!$B$12,0))-파라미터!$B$15))*파라미터!$B$16-H33*파라미터!$B$7-MAX(0,파라미터!$B$19+파라미터!$B$20-MIN(파라미터!$B$15,파라미터!$B$5*(IF(H33&gt;=1,파라미터!$B$10,0)+IF(H33&gt;=2,파라미터!$B$11,0)+IF(H33&gt;=3,파라미터!$B$12,0))))-IF(MOD($A33-1,파라미터!$B$22)=0,파라미터!$B$21,0)</f>
        <v/>
      </c>
      <c r="J33" s="15">
        <f>MAX(0,J32+I33)</f>
        <v/>
      </c>
      <c r="K33" s="14">
        <f>IF(OR($A33&lt;파라미터!$B$6,MOD($A33,파라미터!$B$6)&gt;=5),0,INT((5-MOD($A33,파라미터!$B$6)-1)/파라미터!$B$6)+1)</f>
        <v/>
      </c>
      <c r="L33" s="15">
        <f>((K33*파라미터!$B$5-파라미터!$B$5*(IF(K33&gt;=1,파라미터!$B$10,0)+IF(K33&gt;=2,파라미터!$B$11,0)+IF(K33&gt;=3,파라미터!$B$12,0)))+MAX(0,파라미터!$B$5*(IF(K33&gt;=1,파라미터!$B$10,0)+IF(K33&gt;=2,파라미터!$B$11,0)+IF(K33&gt;=3,파라미터!$B$12,0))-파라미터!$B$15))*파라미터!$B$16-K33*파라미터!$B$7-MAX(0,파라미터!$B$19+파라미터!$B$20-MIN(파라미터!$B$15,파라미터!$B$5*(IF(K33&gt;=1,파라미터!$B$10,0)+IF(K33&gt;=2,파라미터!$B$11,0)+IF(K33&gt;=3,파라미터!$B$12,0))))-IF(MOD($A33-1,파라미터!$B$22)=0,파라미터!$B$21,0)</f>
        <v/>
      </c>
      <c r="M33" s="15">
        <f>MAX(0,M32+L33)</f>
        <v/>
      </c>
      <c r="N33" s="14">
        <f>IF(OR($A33&lt;파라미터!$B$6,MOD($A33,파라미터!$B$6)&gt;=10),0,INT((10-MOD($A33,파라미터!$B$6)-1)/파라미터!$B$6)+1)</f>
        <v/>
      </c>
      <c r="O33" s="15">
        <f>((N33*파라미터!$B$5-파라미터!$B$5*(IF(N33&gt;=1,파라미터!$B$10,0)+IF(N33&gt;=2,파라미터!$B$11,0)+IF(N33&gt;=3,파라미터!$B$12,0)))+MAX(0,파라미터!$B$5*(IF(N33&gt;=1,파라미터!$B$10,0)+IF(N33&gt;=2,파라미터!$B$11,0)+IF(N33&gt;=3,파라미터!$B$12,0))-파라미터!$B$15))*파라미터!$B$16-N33*파라미터!$B$7-MAX(0,파라미터!$B$19+파라미터!$B$20-MIN(파라미터!$B$15,파라미터!$B$5*(IF(N33&gt;=1,파라미터!$B$10,0)+IF(N33&gt;=2,파라미터!$B$11,0)+IF(N33&gt;=3,파라미터!$B$12,0))))-IF(MOD($A33-1,파라미터!$B$22)=0,파라미터!$B$21,0)</f>
        <v/>
      </c>
      <c r="P33" s="15">
        <f>MAX(0,P32+O33)</f>
        <v/>
      </c>
      <c r="Q33" s="14">
        <f>IF(OR($A33&lt;파라미터!$B$6,MOD($A33,파라미터!$B$6)&gt;=20),0,INT((20-MOD($A33,파라미터!$B$6)-1)/파라미터!$B$6)+1)</f>
        <v/>
      </c>
      <c r="R33" s="15">
        <f>((Q33*파라미터!$B$5-파라미터!$B$5*(IF(Q33&gt;=1,파라미터!$B$10,0)+IF(Q33&gt;=2,파라미터!$B$11,0)+IF(Q33&gt;=3,파라미터!$B$12,0)))+MAX(0,파라미터!$B$5*(IF(Q33&gt;=1,파라미터!$B$10,0)+IF(Q33&gt;=2,파라미터!$B$11,0)+IF(Q33&gt;=3,파라미터!$B$12,0))-파라미터!$B$15))*파라미터!$B$16-Q33*파라미터!$B$7-MAX(0,파라미터!$B$19+파라미터!$B$20-MIN(파라미터!$B$15,파라미터!$B$5*(IF(Q33&gt;=1,파라미터!$B$10,0)+IF(Q33&gt;=2,파라미터!$B$11,0)+IF(Q33&gt;=3,파라미터!$B$12,0))))-IF(MOD($A33-1,파라미터!$B$22)=0,파라미터!$B$21,0)</f>
        <v/>
      </c>
      <c r="S33" s="15">
        <f>MAX(0,S32+R33)</f>
        <v/>
      </c>
    </row>
    <row r="34">
      <c r="A34" s="13" t="n">
        <v>30</v>
      </c>
      <c r="B34" s="14">
        <f>IF(OR($A34&lt;파라미터!$B$6,MOD($A34,파라미터!$B$6)&gt;=1),0,INT((1-MOD($A34,파라미터!$B$6)-1)/파라미터!$B$6)+1)</f>
        <v/>
      </c>
      <c r="C34" s="15">
        <f>((B34*파라미터!$B$5-파라미터!$B$5*(IF(B34&gt;=1,파라미터!$B$10,0)+IF(B34&gt;=2,파라미터!$B$11,0)+IF(B34&gt;=3,파라미터!$B$12,0)))+MAX(0,파라미터!$B$5*(IF(B34&gt;=1,파라미터!$B$10,0)+IF(B34&gt;=2,파라미터!$B$11,0)+IF(B34&gt;=3,파라미터!$B$12,0))-파라미터!$B$15))*파라미터!$B$16-B34*파라미터!$B$7-MAX(0,파라미터!$B$19+파라미터!$B$20-MIN(파라미터!$B$15,파라미터!$B$5*(IF(B34&gt;=1,파라미터!$B$10,0)+IF(B34&gt;=2,파라미터!$B$11,0)+IF(B34&gt;=3,파라미터!$B$12,0))))-IF(MOD($A34-1,파라미터!$B$22)=0,파라미터!$B$21,0)</f>
        <v/>
      </c>
      <c r="D34" s="15">
        <f>MAX(0,D33+C34)</f>
        <v/>
      </c>
      <c r="E34" s="14">
        <f>IF(OR($A34&lt;파라미터!$B$6,MOD($A34,파라미터!$B$6)&gt;=2),0,INT((2-MOD($A34,파라미터!$B$6)-1)/파라미터!$B$6)+1)</f>
        <v/>
      </c>
      <c r="F34" s="15">
        <f>((E34*파라미터!$B$5-파라미터!$B$5*(IF(E34&gt;=1,파라미터!$B$10,0)+IF(E34&gt;=2,파라미터!$B$11,0)+IF(E34&gt;=3,파라미터!$B$12,0)))+MAX(0,파라미터!$B$5*(IF(E34&gt;=1,파라미터!$B$10,0)+IF(E34&gt;=2,파라미터!$B$11,0)+IF(E34&gt;=3,파라미터!$B$12,0))-파라미터!$B$15))*파라미터!$B$16-E34*파라미터!$B$7-MAX(0,파라미터!$B$19+파라미터!$B$20-MIN(파라미터!$B$15,파라미터!$B$5*(IF(E34&gt;=1,파라미터!$B$10,0)+IF(E34&gt;=2,파라미터!$B$11,0)+IF(E34&gt;=3,파라미터!$B$12,0))))-IF(MOD($A34-1,파라미터!$B$22)=0,파라미터!$B$21,0)</f>
        <v/>
      </c>
      <c r="G34" s="15">
        <f>MAX(0,G33+F34)</f>
        <v/>
      </c>
      <c r="H34" s="14">
        <f>IF(OR($A34&lt;파라미터!$B$6,MOD($A34,파라미터!$B$6)&gt;=3),0,INT((3-MOD($A34,파라미터!$B$6)-1)/파라미터!$B$6)+1)</f>
        <v/>
      </c>
      <c r="I34" s="15">
        <f>((H34*파라미터!$B$5-파라미터!$B$5*(IF(H34&gt;=1,파라미터!$B$10,0)+IF(H34&gt;=2,파라미터!$B$11,0)+IF(H34&gt;=3,파라미터!$B$12,0)))+MAX(0,파라미터!$B$5*(IF(H34&gt;=1,파라미터!$B$10,0)+IF(H34&gt;=2,파라미터!$B$11,0)+IF(H34&gt;=3,파라미터!$B$12,0))-파라미터!$B$15))*파라미터!$B$16-H34*파라미터!$B$7-MAX(0,파라미터!$B$19+파라미터!$B$20-MIN(파라미터!$B$15,파라미터!$B$5*(IF(H34&gt;=1,파라미터!$B$10,0)+IF(H34&gt;=2,파라미터!$B$11,0)+IF(H34&gt;=3,파라미터!$B$12,0))))-IF(MOD($A34-1,파라미터!$B$22)=0,파라미터!$B$21,0)</f>
        <v/>
      </c>
      <c r="J34" s="15">
        <f>MAX(0,J33+I34)</f>
        <v/>
      </c>
      <c r="K34" s="14">
        <f>IF(OR($A34&lt;파라미터!$B$6,MOD($A34,파라미터!$B$6)&gt;=5),0,INT((5-MOD($A34,파라미터!$B$6)-1)/파라미터!$B$6)+1)</f>
        <v/>
      </c>
      <c r="L34" s="15">
        <f>((K34*파라미터!$B$5-파라미터!$B$5*(IF(K34&gt;=1,파라미터!$B$10,0)+IF(K34&gt;=2,파라미터!$B$11,0)+IF(K34&gt;=3,파라미터!$B$12,0)))+MAX(0,파라미터!$B$5*(IF(K34&gt;=1,파라미터!$B$10,0)+IF(K34&gt;=2,파라미터!$B$11,0)+IF(K34&gt;=3,파라미터!$B$12,0))-파라미터!$B$15))*파라미터!$B$16-K34*파라미터!$B$7-MAX(0,파라미터!$B$19+파라미터!$B$20-MIN(파라미터!$B$15,파라미터!$B$5*(IF(K34&gt;=1,파라미터!$B$10,0)+IF(K34&gt;=2,파라미터!$B$11,0)+IF(K34&gt;=3,파라미터!$B$12,0))))-IF(MOD($A34-1,파라미터!$B$22)=0,파라미터!$B$21,0)</f>
        <v/>
      </c>
      <c r="M34" s="15">
        <f>MAX(0,M33+L34)</f>
        <v/>
      </c>
      <c r="N34" s="14">
        <f>IF(OR($A34&lt;파라미터!$B$6,MOD($A34,파라미터!$B$6)&gt;=10),0,INT((10-MOD($A34,파라미터!$B$6)-1)/파라미터!$B$6)+1)</f>
        <v/>
      </c>
      <c r="O34" s="15">
        <f>((N34*파라미터!$B$5-파라미터!$B$5*(IF(N34&gt;=1,파라미터!$B$10,0)+IF(N34&gt;=2,파라미터!$B$11,0)+IF(N34&gt;=3,파라미터!$B$12,0)))+MAX(0,파라미터!$B$5*(IF(N34&gt;=1,파라미터!$B$10,0)+IF(N34&gt;=2,파라미터!$B$11,0)+IF(N34&gt;=3,파라미터!$B$12,0))-파라미터!$B$15))*파라미터!$B$16-N34*파라미터!$B$7-MAX(0,파라미터!$B$19+파라미터!$B$20-MIN(파라미터!$B$15,파라미터!$B$5*(IF(N34&gt;=1,파라미터!$B$10,0)+IF(N34&gt;=2,파라미터!$B$11,0)+IF(N34&gt;=3,파라미터!$B$12,0))))-IF(MOD($A34-1,파라미터!$B$22)=0,파라미터!$B$21,0)</f>
        <v/>
      </c>
      <c r="P34" s="15">
        <f>MAX(0,P33+O34)</f>
        <v/>
      </c>
      <c r="Q34" s="14">
        <f>IF(OR($A34&lt;파라미터!$B$6,MOD($A34,파라미터!$B$6)&gt;=20),0,INT((20-MOD($A34,파라미터!$B$6)-1)/파라미터!$B$6)+1)</f>
        <v/>
      </c>
      <c r="R34" s="15">
        <f>((Q34*파라미터!$B$5-파라미터!$B$5*(IF(Q34&gt;=1,파라미터!$B$10,0)+IF(Q34&gt;=2,파라미터!$B$11,0)+IF(Q34&gt;=3,파라미터!$B$12,0)))+MAX(0,파라미터!$B$5*(IF(Q34&gt;=1,파라미터!$B$10,0)+IF(Q34&gt;=2,파라미터!$B$11,0)+IF(Q34&gt;=3,파라미터!$B$12,0))-파라미터!$B$15))*파라미터!$B$16-Q34*파라미터!$B$7-MAX(0,파라미터!$B$19+파라미터!$B$20-MIN(파라미터!$B$15,파라미터!$B$5*(IF(Q34&gt;=1,파라미터!$B$10,0)+IF(Q34&gt;=2,파라미터!$B$11,0)+IF(Q34&gt;=3,파라미터!$B$12,0))))-IF(MOD($A34-1,파라미터!$B$22)=0,파라미터!$B$21,0)</f>
        <v/>
      </c>
      <c r="S34" s="15">
        <f>MAX(0,S33+R34)</f>
        <v/>
      </c>
    </row>
    <row r="35">
      <c r="A35" s="13" t="n">
        <v>31</v>
      </c>
      <c r="B35" s="14">
        <f>IF(OR($A35&lt;파라미터!$B$6,MOD($A35,파라미터!$B$6)&gt;=1),0,INT((1-MOD($A35,파라미터!$B$6)-1)/파라미터!$B$6)+1)</f>
        <v/>
      </c>
      <c r="C35" s="15">
        <f>((B35*파라미터!$B$5-파라미터!$B$5*(IF(B35&gt;=1,파라미터!$B$10,0)+IF(B35&gt;=2,파라미터!$B$11,0)+IF(B35&gt;=3,파라미터!$B$12,0)))+MAX(0,파라미터!$B$5*(IF(B35&gt;=1,파라미터!$B$10,0)+IF(B35&gt;=2,파라미터!$B$11,0)+IF(B35&gt;=3,파라미터!$B$12,0))-파라미터!$B$15))*파라미터!$B$16-B35*파라미터!$B$7-MAX(0,파라미터!$B$19+파라미터!$B$20-MIN(파라미터!$B$15,파라미터!$B$5*(IF(B35&gt;=1,파라미터!$B$10,0)+IF(B35&gt;=2,파라미터!$B$11,0)+IF(B35&gt;=3,파라미터!$B$12,0))))-IF(MOD($A35-1,파라미터!$B$22)=0,파라미터!$B$21,0)</f>
        <v/>
      </c>
      <c r="D35" s="15">
        <f>MAX(0,D34+C35)</f>
        <v/>
      </c>
      <c r="E35" s="14">
        <f>IF(OR($A35&lt;파라미터!$B$6,MOD($A35,파라미터!$B$6)&gt;=2),0,INT((2-MOD($A35,파라미터!$B$6)-1)/파라미터!$B$6)+1)</f>
        <v/>
      </c>
      <c r="F35" s="15">
        <f>((E35*파라미터!$B$5-파라미터!$B$5*(IF(E35&gt;=1,파라미터!$B$10,0)+IF(E35&gt;=2,파라미터!$B$11,0)+IF(E35&gt;=3,파라미터!$B$12,0)))+MAX(0,파라미터!$B$5*(IF(E35&gt;=1,파라미터!$B$10,0)+IF(E35&gt;=2,파라미터!$B$11,0)+IF(E35&gt;=3,파라미터!$B$12,0))-파라미터!$B$15))*파라미터!$B$16-E35*파라미터!$B$7-MAX(0,파라미터!$B$19+파라미터!$B$20-MIN(파라미터!$B$15,파라미터!$B$5*(IF(E35&gt;=1,파라미터!$B$10,0)+IF(E35&gt;=2,파라미터!$B$11,0)+IF(E35&gt;=3,파라미터!$B$12,0))))-IF(MOD($A35-1,파라미터!$B$22)=0,파라미터!$B$21,0)</f>
        <v/>
      </c>
      <c r="G35" s="15">
        <f>MAX(0,G34+F35)</f>
        <v/>
      </c>
      <c r="H35" s="14">
        <f>IF(OR($A35&lt;파라미터!$B$6,MOD($A35,파라미터!$B$6)&gt;=3),0,INT((3-MOD($A35,파라미터!$B$6)-1)/파라미터!$B$6)+1)</f>
        <v/>
      </c>
      <c r="I35" s="15">
        <f>((H35*파라미터!$B$5-파라미터!$B$5*(IF(H35&gt;=1,파라미터!$B$10,0)+IF(H35&gt;=2,파라미터!$B$11,0)+IF(H35&gt;=3,파라미터!$B$12,0)))+MAX(0,파라미터!$B$5*(IF(H35&gt;=1,파라미터!$B$10,0)+IF(H35&gt;=2,파라미터!$B$11,0)+IF(H35&gt;=3,파라미터!$B$12,0))-파라미터!$B$15))*파라미터!$B$16-H35*파라미터!$B$7-MAX(0,파라미터!$B$19+파라미터!$B$20-MIN(파라미터!$B$15,파라미터!$B$5*(IF(H35&gt;=1,파라미터!$B$10,0)+IF(H35&gt;=2,파라미터!$B$11,0)+IF(H35&gt;=3,파라미터!$B$12,0))))-IF(MOD($A35-1,파라미터!$B$22)=0,파라미터!$B$21,0)</f>
        <v/>
      </c>
      <c r="J35" s="15">
        <f>MAX(0,J34+I35)</f>
        <v/>
      </c>
      <c r="K35" s="14">
        <f>IF(OR($A35&lt;파라미터!$B$6,MOD($A35,파라미터!$B$6)&gt;=5),0,INT((5-MOD($A35,파라미터!$B$6)-1)/파라미터!$B$6)+1)</f>
        <v/>
      </c>
      <c r="L35" s="15">
        <f>((K35*파라미터!$B$5-파라미터!$B$5*(IF(K35&gt;=1,파라미터!$B$10,0)+IF(K35&gt;=2,파라미터!$B$11,0)+IF(K35&gt;=3,파라미터!$B$12,0)))+MAX(0,파라미터!$B$5*(IF(K35&gt;=1,파라미터!$B$10,0)+IF(K35&gt;=2,파라미터!$B$11,0)+IF(K35&gt;=3,파라미터!$B$12,0))-파라미터!$B$15))*파라미터!$B$16-K35*파라미터!$B$7-MAX(0,파라미터!$B$19+파라미터!$B$20-MIN(파라미터!$B$15,파라미터!$B$5*(IF(K35&gt;=1,파라미터!$B$10,0)+IF(K35&gt;=2,파라미터!$B$11,0)+IF(K35&gt;=3,파라미터!$B$12,0))))-IF(MOD($A35-1,파라미터!$B$22)=0,파라미터!$B$21,0)</f>
        <v/>
      </c>
      <c r="M35" s="15">
        <f>MAX(0,M34+L35)</f>
        <v/>
      </c>
      <c r="N35" s="14">
        <f>IF(OR($A35&lt;파라미터!$B$6,MOD($A35,파라미터!$B$6)&gt;=10),0,INT((10-MOD($A35,파라미터!$B$6)-1)/파라미터!$B$6)+1)</f>
        <v/>
      </c>
      <c r="O35" s="15">
        <f>((N35*파라미터!$B$5-파라미터!$B$5*(IF(N35&gt;=1,파라미터!$B$10,0)+IF(N35&gt;=2,파라미터!$B$11,0)+IF(N35&gt;=3,파라미터!$B$12,0)))+MAX(0,파라미터!$B$5*(IF(N35&gt;=1,파라미터!$B$10,0)+IF(N35&gt;=2,파라미터!$B$11,0)+IF(N35&gt;=3,파라미터!$B$12,0))-파라미터!$B$15))*파라미터!$B$16-N35*파라미터!$B$7-MAX(0,파라미터!$B$19+파라미터!$B$20-MIN(파라미터!$B$15,파라미터!$B$5*(IF(N35&gt;=1,파라미터!$B$10,0)+IF(N35&gt;=2,파라미터!$B$11,0)+IF(N35&gt;=3,파라미터!$B$12,0))))-IF(MOD($A35-1,파라미터!$B$22)=0,파라미터!$B$21,0)</f>
        <v/>
      </c>
      <c r="P35" s="15">
        <f>MAX(0,P34+O35)</f>
        <v/>
      </c>
      <c r="Q35" s="14">
        <f>IF(OR($A35&lt;파라미터!$B$6,MOD($A35,파라미터!$B$6)&gt;=20),0,INT((20-MOD($A35,파라미터!$B$6)-1)/파라미터!$B$6)+1)</f>
        <v/>
      </c>
      <c r="R35" s="15">
        <f>((Q35*파라미터!$B$5-파라미터!$B$5*(IF(Q35&gt;=1,파라미터!$B$10,0)+IF(Q35&gt;=2,파라미터!$B$11,0)+IF(Q35&gt;=3,파라미터!$B$12,0)))+MAX(0,파라미터!$B$5*(IF(Q35&gt;=1,파라미터!$B$10,0)+IF(Q35&gt;=2,파라미터!$B$11,0)+IF(Q35&gt;=3,파라미터!$B$12,0))-파라미터!$B$15))*파라미터!$B$16-Q35*파라미터!$B$7-MAX(0,파라미터!$B$19+파라미터!$B$20-MIN(파라미터!$B$15,파라미터!$B$5*(IF(Q35&gt;=1,파라미터!$B$10,0)+IF(Q35&gt;=2,파라미터!$B$11,0)+IF(Q35&gt;=3,파라미터!$B$12,0))))-IF(MOD($A35-1,파라미터!$B$22)=0,파라미터!$B$21,0)</f>
        <v/>
      </c>
      <c r="S35" s="15">
        <f>MAX(0,S34+R35)</f>
        <v/>
      </c>
    </row>
    <row r="36">
      <c r="A36" s="13" t="n">
        <v>32</v>
      </c>
      <c r="B36" s="14">
        <f>IF(OR($A36&lt;파라미터!$B$6,MOD($A36,파라미터!$B$6)&gt;=1),0,INT((1-MOD($A36,파라미터!$B$6)-1)/파라미터!$B$6)+1)</f>
        <v/>
      </c>
      <c r="C36" s="15">
        <f>((B36*파라미터!$B$5-파라미터!$B$5*(IF(B36&gt;=1,파라미터!$B$10,0)+IF(B36&gt;=2,파라미터!$B$11,0)+IF(B36&gt;=3,파라미터!$B$12,0)))+MAX(0,파라미터!$B$5*(IF(B36&gt;=1,파라미터!$B$10,0)+IF(B36&gt;=2,파라미터!$B$11,0)+IF(B36&gt;=3,파라미터!$B$12,0))-파라미터!$B$15))*파라미터!$B$16-B36*파라미터!$B$7-MAX(0,파라미터!$B$19+파라미터!$B$20-MIN(파라미터!$B$15,파라미터!$B$5*(IF(B36&gt;=1,파라미터!$B$10,0)+IF(B36&gt;=2,파라미터!$B$11,0)+IF(B36&gt;=3,파라미터!$B$12,0))))-IF(MOD($A36-1,파라미터!$B$22)=0,파라미터!$B$21,0)</f>
        <v/>
      </c>
      <c r="D36" s="15">
        <f>MAX(0,D35+C36)</f>
        <v/>
      </c>
      <c r="E36" s="14">
        <f>IF(OR($A36&lt;파라미터!$B$6,MOD($A36,파라미터!$B$6)&gt;=2),0,INT((2-MOD($A36,파라미터!$B$6)-1)/파라미터!$B$6)+1)</f>
        <v/>
      </c>
      <c r="F36" s="15">
        <f>((E36*파라미터!$B$5-파라미터!$B$5*(IF(E36&gt;=1,파라미터!$B$10,0)+IF(E36&gt;=2,파라미터!$B$11,0)+IF(E36&gt;=3,파라미터!$B$12,0)))+MAX(0,파라미터!$B$5*(IF(E36&gt;=1,파라미터!$B$10,0)+IF(E36&gt;=2,파라미터!$B$11,0)+IF(E36&gt;=3,파라미터!$B$12,0))-파라미터!$B$15))*파라미터!$B$16-E36*파라미터!$B$7-MAX(0,파라미터!$B$19+파라미터!$B$20-MIN(파라미터!$B$15,파라미터!$B$5*(IF(E36&gt;=1,파라미터!$B$10,0)+IF(E36&gt;=2,파라미터!$B$11,0)+IF(E36&gt;=3,파라미터!$B$12,0))))-IF(MOD($A36-1,파라미터!$B$22)=0,파라미터!$B$21,0)</f>
        <v/>
      </c>
      <c r="G36" s="15">
        <f>MAX(0,G35+F36)</f>
        <v/>
      </c>
      <c r="H36" s="14">
        <f>IF(OR($A36&lt;파라미터!$B$6,MOD($A36,파라미터!$B$6)&gt;=3),0,INT((3-MOD($A36,파라미터!$B$6)-1)/파라미터!$B$6)+1)</f>
        <v/>
      </c>
      <c r="I36" s="15">
        <f>((H36*파라미터!$B$5-파라미터!$B$5*(IF(H36&gt;=1,파라미터!$B$10,0)+IF(H36&gt;=2,파라미터!$B$11,0)+IF(H36&gt;=3,파라미터!$B$12,0)))+MAX(0,파라미터!$B$5*(IF(H36&gt;=1,파라미터!$B$10,0)+IF(H36&gt;=2,파라미터!$B$11,0)+IF(H36&gt;=3,파라미터!$B$12,0))-파라미터!$B$15))*파라미터!$B$16-H36*파라미터!$B$7-MAX(0,파라미터!$B$19+파라미터!$B$20-MIN(파라미터!$B$15,파라미터!$B$5*(IF(H36&gt;=1,파라미터!$B$10,0)+IF(H36&gt;=2,파라미터!$B$11,0)+IF(H36&gt;=3,파라미터!$B$12,0))))-IF(MOD($A36-1,파라미터!$B$22)=0,파라미터!$B$21,0)</f>
        <v/>
      </c>
      <c r="J36" s="15">
        <f>MAX(0,J35+I36)</f>
        <v/>
      </c>
      <c r="K36" s="14">
        <f>IF(OR($A36&lt;파라미터!$B$6,MOD($A36,파라미터!$B$6)&gt;=5),0,INT((5-MOD($A36,파라미터!$B$6)-1)/파라미터!$B$6)+1)</f>
        <v/>
      </c>
      <c r="L36" s="15">
        <f>((K36*파라미터!$B$5-파라미터!$B$5*(IF(K36&gt;=1,파라미터!$B$10,0)+IF(K36&gt;=2,파라미터!$B$11,0)+IF(K36&gt;=3,파라미터!$B$12,0)))+MAX(0,파라미터!$B$5*(IF(K36&gt;=1,파라미터!$B$10,0)+IF(K36&gt;=2,파라미터!$B$11,0)+IF(K36&gt;=3,파라미터!$B$12,0))-파라미터!$B$15))*파라미터!$B$16-K36*파라미터!$B$7-MAX(0,파라미터!$B$19+파라미터!$B$20-MIN(파라미터!$B$15,파라미터!$B$5*(IF(K36&gt;=1,파라미터!$B$10,0)+IF(K36&gt;=2,파라미터!$B$11,0)+IF(K36&gt;=3,파라미터!$B$12,0))))-IF(MOD($A36-1,파라미터!$B$22)=0,파라미터!$B$21,0)</f>
        <v/>
      </c>
      <c r="M36" s="15">
        <f>MAX(0,M35+L36)</f>
        <v/>
      </c>
      <c r="N36" s="14">
        <f>IF(OR($A36&lt;파라미터!$B$6,MOD($A36,파라미터!$B$6)&gt;=10),0,INT((10-MOD($A36,파라미터!$B$6)-1)/파라미터!$B$6)+1)</f>
        <v/>
      </c>
      <c r="O36" s="15">
        <f>((N36*파라미터!$B$5-파라미터!$B$5*(IF(N36&gt;=1,파라미터!$B$10,0)+IF(N36&gt;=2,파라미터!$B$11,0)+IF(N36&gt;=3,파라미터!$B$12,0)))+MAX(0,파라미터!$B$5*(IF(N36&gt;=1,파라미터!$B$10,0)+IF(N36&gt;=2,파라미터!$B$11,0)+IF(N36&gt;=3,파라미터!$B$12,0))-파라미터!$B$15))*파라미터!$B$16-N36*파라미터!$B$7-MAX(0,파라미터!$B$19+파라미터!$B$20-MIN(파라미터!$B$15,파라미터!$B$5*(IF(N36&gt;=1,파라미터!$B$10,0)+IF(N36&gt;=2,파라미터!$B$11,0)+IF(N36&gt;=3,파라미터!$B$12,0))))-IF(MOD($A36-1,파라미터!$B$22)=0,파라미터!$B$21,0)</f>
        <v/>
      </c>
      <c r="P36" s="15">
        <f>MAX(0,P35+O36)</f>
        <v/>
      </c>
      <c r="Q36" s="14">
        <f>IF(OR($A36&lt;파라미터!$B$6,MOD($A36,파라미터!$B$6)&gt;=20),0,INT((20-MOD($A36,파라미터!$B$6)-1)/파라미터!$B$6)+1)</f>
        <v/>
      </c>
      <c r="R36" s="15">
        <f>((Q36*파라미터!$B$5-파라미터!$B$5*(IF(Q36&gt;=1,파라미터!$B$10,0)+IF(Q36&gt;=2,파라미터!$B$11,0)+IF(Q36&gt;=3,파라미터!$B$12,0)))+MAX(0,파라미터!$B$5*(IF(Q36&gt;=1,파라미터!$B$10,0)+IF(Q36&gt;=2,파라미터!$B$11,0)+IF(Q36&gt;=3,파라미터!$B$12,0))-파라미터!$B$15))*파라미터!$B$16-Q36*파라미터!$B$7-MAX(0,파라미터!$B$19+파라미터!$B$20-MIN(파라미터!$B$15,파라미터!$B$5*(IF(Q36&gt;=1,파라미터!$B$10,0)+IF(Q36&gt;=2,파라미터!$B$11,0)+IF(Q36&gt;=3,파라미터!$B$12,0))))-IF(MOD($A36-1,파라미터!$B$22)=0,파라미터!$B$21,0)</f>
        <v/>
      </c>
      <c r="S36" s="15">
        <f>MAX(0,S35+R36)</f>
        <v/>
      </c>
    </row>
    <row r="37">
      <c r="A37" s="13" t="n">
        <v>33</v>
      </c>
      <c r="B37" s="14">
        <f>IF(OR($A37&lt;파라미터!$B$6,MOD($A37,파라미터!$B$6)&gt;=1),0,INT((1-MOD($A37,파라미터!$B$6)-1)/파라미터!$B$6)+1)</f>
        <v/>
      </c>
      <c r="C37" s="15">
        <f>((B37*파라미터!$B$5-파라미터!$B$5*(IF(B37&gt;=1,파라미터!$B$10,0)+IF(B37&gt;=2,파라미터!$B$11,0)+IF(B37&gt;=3,파라미터!$B$12,0)))+MAX(0,파라미터!$B$5*(IF(B37&gt;=1,파라미터!$B$10,0)+IF(B37&gt;=2,파라미터!$B$11,0)+IF(B37&gt;=3,파라미터!$B$12,0))-파라미터!$B$15))*파라미터!$B$16-B37*파라미터!$B$7-MAX(0,파라미터!$B$19+파라미터!$B$20-MIN(파라미터!$B$15,파라미터!$B$5*(IF(B37&gt;=1,파라미터!$B$10,0)+IF(B37&gt;=2,파라미터!$B$11,0)+IF(B37&gt;=3,파라미터!$B$12,0))))-IF(MOD($A37-1,파라미터!$B$22)=0,파라미터!$B$21,0)</f>
        <v/>
      </c>
      <c r="D37" s="15">
        <f>MAX(0,D36+C37)</f>
        <v/>
      </c>
      <c r="E37" s="14">
        <f>IF(OR($A37&lt;파라미터!$B$6,MOD($A37,파라미터!$B$6)&gt;=2),0,INT((2-MOD($A37,파라미터!$B$6)-1)/파라미터!$B$6)+1)</f>
        <v/>
      </c>
      <c r="F37" s="15">
        <f>((E37*파라미터!$B$5-파라미터!$B$5*(IF(E37&gt;=1,파라미터!$B$10,0)+IF(E37&gt;=2,파라미터!$B$11,0)+IF(E37&gt;=3,파라미터!$B$12,0)))+MAX(0,파라미터!$B$5*(IF(E37&gt;=1,파라미터!$B$10,0)+IF(E37&gt;=2,파라미터!$B$11,0)+IF(E37&gt;=3,파라미터!$B$12,0))-파라미터!$B$15))*파라미터!$B$16-E37*파라미터!$B$7-MAX(0,파라미터!$B$19+파라미터!$B$20-MIN(파라미터!$B$15,파라미터!$B$5*(IF(E37&gt;=1,파라미터!$B$10,0)+IF(E37&gt;=2,파라미터!$B$11,0)+IF(E37&gt;=3,파라미터!$B$12,0))))-IF(MOD($A37-1,파라미터!$B$22)=0,파라미터!$B$21,0)</f>
        <v/>
      </c>
      <c r="G37" s="15">
        <f>MAX(0,G36+F37)</f>
        <v/>
      </c>
      <c r="H37" s="14">
        <f>IF(OR($A37&lt;파라미터!$B$6,MOD($A37,파라미터!$B$6)&gt;=3),0,INT((3-MOD($A37,파라미터!$B$6)-1)/파라미터!$B$6)+1)</f>
        <v/>
      </c>
      <c r="I37" s="15">
        <f>((H37*파라미터!$B$5-파라미터!$B$5*(IF(H37&gt;=1,파라미터!$B$10,0)+IF(H37&gt;=2,파라미터!$B$11,0)+IF(H37&gt;=3,파라미터!$B$12,0)))+MAX(0,파라미터!$B$5*(IF(H37&gt;=1,파라미터!$B$10,0)+IF(H37&gt;=2,파라미터!$B$11,0)+IF(H37&gt;=3,파라미터!$B$12,0))-파라미터!$B$15))*파라미터!$B$16-H37*파라미터!$B$7-MAX(0,파라미터!$B$19+파라미터!$B$20-MIN(파라미터!$B$15,파라미터!$B$5*(IF(H37&gt;=1,파라미터!$B$10,0)+IF(H37&gt;=2,파라미터!$B$11,0)+IF(H37&gt;=3,파라미터!$B$12,0))))-IF(MOD($A37-1,파라미터!$B$22)=0,파라미터!$B$21,0)</f>
        <v/>
      </c>
      <c r="J37" s="15">
        <f>MAX(0,J36+I37)</f>
        <v/>
      </c>
      <c r="K37" s="14">
        <f>IF(OR($A37&lt;파라미터!$B$6,MOD($A37,파라미터!$B$6)&gt;=5),0,INT((5-MOD($A37,파라미터!$B$6)-1)/파라미터!$B$6)+1)</f>
        <v/>
      </c>
      <c r="L37" s="15">
        <f>((K37*파라미터!$B$5-파라미터!$B$5*(IF(K37&gt;=1,파라미터!$B$10,0)+IF(K37&gt;=2,파라미터!$B$11,0)+IF(K37&gt;=3,파라미터!$B$12,0)))+MAX(0,파라미터!$B$5*(IF(K37&gt;=1,파라미터!$B$10,0)+IF(K37&gt;=2,파라미터!$B$11,0)+IF(K37&gt;=3,파라미터!$B$12,0))-파라미터!$B$15))*파라미터!$B$16-K37*파라미터!$B$7-MAX(0,파라미터!$B$19+파라미터!$B$20-MIN(파라미터!$B$15,파라미터!$B$5*(IF(K37&gt;=1,파라미터!$B$10,0)+IF(K37&gt;=2,파라미터!$B$11,0)+IF(K37&gt;=3,파라미터!$B$12,0))))-IF(MOD($A37-1,파라미터!$B$22)=0,파라미터!$B$21,0)</f>
        <v/>
      </c>
      <c r="M37" s="15">
        <f>MAX(0,M36+L37)</f>
        <v/>
      </c>
      <c r="N37" s="14">
        <f>IF(OR($A37&lt;파라미터!$B$6,MOD($A37,파라미터!$B$6)&gt;=10),0,INT((10-MOD($A37,파라미터!$B$6)-1)/파라미터!$B$6)+1)</f>
        <v/>
      </c>
      <c r="O37" s="15">
        <f>((N37*파라미터!$B$5-파라미터!$B$5*(IF(N37&gt;=1,파라미터!$B$10,0)+IF(N37&gt;=2,파라미터!$B$11,0)+IF(N37&gt;=3,파라미터!$B$12,0)))+MAX(0,파라미터!$B$5*(IF(N37&gt;=1,파라미터!$B$10,0)+IF(N37&gt;=2,파라미터!$B$11,0)+IF(N37&gt;=3,파라미터!$B$12,0))-파라미터!$B$15))*파라미터!$B$16-N37*파라미터!$B$7-MAX(0,파라미터!$B$19+파라미터!$B$20-MIN(파라미터!$B$15,파라미터!$B$5*(IF(N37&gt;=1,파라미터!$B$10,0)+IF(N37&gt;=2,파라미터!$B$11,0)+IF(N37&gt;=3,파라미터!$B$12,0))))-IF(MOD($A37-1,파라미터!$B$22)=0,파라미터!$B$21,0)</f>
        <v/>
      </c>
      <c r="P37" s="15">
        <f>MAX(0,P36+O37)</f>
        <v/>
      </c>
      <c r="Q37" s="14">
        <f>IF(OR($A37&lt;파라미터!$B$6,MOD($A37,파라미터!$B$6)&gt;=20),0,INT((20-MOD($A37,파라미터!$B$6)-1)/파라미터!$B$6)+1)</f>
        <v/>
      </c>
      <c r="R37" s="15">
        <f>((Q37*파라미터!$B$5-파라미터!$B$5*(IF(Q37&gt;=1,파라미터!$B$10,0)+IF(Q37&gt;=2,파라미터!$B$11,0)+IF(Q37&gt;=3,파라미터!$B$12,0)))+MAX(0,파라미터!$B$5*(IF(Q37&gt;=1,파라미터!$B$10,0)+IF(Q37&gt;=2,파라미터!$B$11,0)+IF(Q37&gt;=3,파라미터!$B$12,0))-파라미터!$B$15))*파라미터!$B$16-Q37*파라미터!$B$7-MAX(0,파라미터!$B$19+파라미터!$B$20-MIN(파라미터!$B$15,파라미터!$B$5*(IF(Q37&gt;=1,파라미터!$B$10,0)+IF(Q37&gt;=2,파라미터!$B$11,0)+IF(Q37&gt;=3,파라미터!$B$12,0))))-IF(MOD($A37-1,파라미터!$B$22)=0,파라미터!$B$21,0)</f>
        <v/>
      </c>
      <c r="S37" s="15">
        <f>MAX(0,S36+R37)</f>
        <v/>
      </c>
    </row>
    <row r="38">
      <c r="A38" s="13" t="n">
        <v>34</v>
      </c>
      <c r="B38" s="14">
        <f>IF(OR($A38&lt;파라미터!$B$6,MOD($A38,파라미터!$B$6)&gt;=1),0,INT((1-MOD($A38,파라미터!$B$6)-1)/파라미터!$B$6)+1)</f>
        <v/>
      </c>
      <c r="C38" s="15">
        <f>((B38*파라미터!$B$5-파라미터!$B$5*(IF(B38&gt;=1,파라미터!$B$10,0)+IF(B38&gt;=2,파라미터!$B$11,0)+IF(B38&gt;=3,파라미터!$B$12,0)))+MAX(0,파라미터!$B$5*(IF(B38&gt;=1,파라미터!$B$10,0)+IF(B38&gt;=2,파라미터!$B$11,0)+IF(B38&gt;=3,파라미터!$B$12,0))-파라미터!$B$15))*파라미터!$B$16-B38*파라미터!$B$7-MAX(0,파라미터!$B$19+파라미터!$B$20-MIN(파라미터!$B$15,파라미터!$B$5*(IF(B38&gt;=1,파라미터!$B$10,0)+IF(B38&gt;=2,파라미터!$B$11,0)+IF(B38&gt;=3,파라미터!$B$12,0))))-IF(MOD($A38-1,파라미터!$B$22)=0,파라미터!$B$21,0)</f>
        <v/>
      </c>
      <c r="D38" s="15">
        <f>MAX(0,D37+C38)</f>
        <v/>
      </c>
      <c r="E38" s="14">
        <f>IF(OR($A38&lt;파라미터!$B$6,MOD($A38,파라미터!$B$6)&gt;=2),0,INT((2-MOD($A38,파라미터!$B$6)-1)/파라미터!$B$6)+1)</f>
        <v/>
      </c>
      <c r="F38" s="15">
        <f>((E38*파라미터!$B$5-파라미터!$B$5*(IF(E38&gt;=1,파라미터!$B$10,0)+IF(E38&gt;=2,파라미터!$B$11,0)+IF(E38&gt;=3,파라미터!$B$12,0)))+MAX(0,파라미터!$B$5*(IF(E38&gt;=1,파라미터!$B$10,0)+IF(E38&gt;=2,파라미터!$B$11,0)+IF(E38&gt;=3,파라미터!$B$12,0))-파라미터!$B$15))*파라미터!$B$16-E38*파라미터!$B$7-MAX(0,파라미터!$B$19+파라미터!$B$20-MIN(파라미터!$B$15,파라미터!$B$5*(IF(E38&gt;=1,파라미터!$B$10,0)+IF(E38&gt;=2,파라미터!$B$11,0)+IF(E38&gt;=3,파라미터!$B$12,0))))-IF(MOD($A38-1,파라미터!$B$22)=0,파라미터!$B$21,0)</f>
        <v/>
      </c>
      <c r="G38" s="15">
        <f>MAX(0,G37+F38)</f>
        <v/>
      </c>
      <c r="H38" s="14">
        <f>IF(OR($A38&lt;파라미터!$B$6,MOD($A38,파라미터!$B$6)&gt;=3),0,INT((3-MOD($A38,파라미터!$B$6)-1)/파라미터!$B$6)+1)</f>
        <v/>
      </c>
      <c r="I38" s="15">
        <f>((H38*파라미터!$B$5-파라미터!$B$5*(IF(H38&gt;=1,파라미터!$B$10,0)+IF(H38&gt;=2,파라미터!$B$11,0)+IF(H38&gt;=3,파라미터!$B$12,0)))+MAX(0,파라미터!$B$5*(IF(H38&gt;=1,파라미터!$B$10,0)+IF(H38&gt;=2,파라미터!$B$11,0)+IF(H38&gt;=3,파라미터!$B$12,0))-파라미터!$B$15))*파라미터!$B$16-H38*파라미터!$B$7-MAX(0,파라미터!$B$19+파라미터!$B$20-MIN(파라미터!$B$15,파라미터!$B$5*(IF(H38&gt;=1,파라미터!$B$10,0)+IF(H38&gt;=2,파라미터!$B$11,0)+IF(H38&gt;=3,파라미터!$B$12,0))))-IF(MOD($A38-1,파라미터!$B$22)=0,파라미터!$B$21,0)</f>
        <v/>
      </c>
      <c r="J38" s="15">
        <f>MAX(0,J37+I38)</f>
        <v/>
      </c>
      <c r="K38" s="14">
        <f>IF(OR($A38&lt;파라미터!$B$6,MOD($A38,파라미터!$B$6)&gt;=5),0,INT((5-MOD($A38,파라미터!$B$6)-1)/파라미터!$B$6)+1)</f>
        <v/>
      </c>
      <c r="L38" s="15">
        <f>((K38*파라미터!$B$5-파라미터!$B$5*(IF(K38&gt;=1,파라미터!$B$10,0)+IF(K38&gt;=2,파라미터!$B$11,0)+IF(K38&gt;=3,파라미터!$B$12,0)))+MAX(0,파라미터!$B$5*(IF(K38&gt;=1,파라미터!$B$10,0)+IF(K38&gt;=2,파라미터!$B$11,0)+IF(K38&gt;=3,파라미터!$B$12,0))-파라미터!$B$15))*파라미터!$B$16-K38*파라미터!$B$7-MAX(0,파라미터!$B$19+파라미터!$B$20-MIN(파라미터!$B$15,파라미터!$B$5*(IF(K38&gt;=1,파라미터!$B$10,0)+IF(K38&gt;=2,파라미터!$B$11,0)+IF(K38&gt;=3,파라미터!$B$12,0))))-IF(MOD($A38-1,파라미터!$B$22)=0,파라미터!$B$21,0)</f>
        <v/>
      </c>
      <c r="M38" s="15">
        <f>MAX(0,M37+L38)</f>
        <v/>
      </c>
      <c r="N38" s="14">
        <f>IF(OR($A38&lt;파라미터!$B$6,MOD($A38,파라미터!$B$6)&gt;=10),0,INT((10-MOD($A38,파라미터!$B$6)-1)/파라미터!$B$6)+1)</f>
        <v/>
      </c>
      <c r="O38" s="15">
        <f>((N38*파라미터!$B$5-파라미터!$B$5*(IF(N38&gt;=1,파라미터!$B$10,0)+IF(N38&gt;=2,파라미터!$B$11,0)+IF(N38&gt;=3,파라미터!$B$12,0)))+MAX(0,파라미터!$B$5*(IF(N38&gt;=1,파라미터!$B$10,0)+IF(N38&gt;=2,파라미터!$B$11,0)+IF(N38&gt;=3,파라미터!$B$12,0))-파라미터!$B$15))*파라미터!$B$16-N38*파라미터!$B$7-MAX(0,파라미터!$B$19+파라미터!$B$20-MIN(파라미터!$B$15,파라미터!$B$5*(IF(N38&gt;=1,파라미터!$B$10,0)+IF(N38&gt;=2,파라미터!$B$11,0)+IF(N38&gt;=3,파라미터!$B$12,0))))-IF(MOD($A38-1,파라미터!$B$22)=0,파라미터!$B$21,0)</f>
        <v/>
      </c>
      <c r="P38" s="15">
        <f>MAX(0,P37+O38)</f>
        <v/>
      </c>
      <c r="Q38" s="14">
        <f>IF(OR($A38&lt;파라미터!$B$6,MOD($A38,파라미터!$B$6)&gt;=20),0,INT((20-MOD($A38,파라미터!$B$6)-1)/파라미터!$B$6)+1)</f>
        <v/>
      </c>
      <c r="R38" s="15">
        <f>((Q38*파라미터!$B$5-파라미터!$B$5*(IF(Q38&gt;=1,파라미터!$B$10,0)+IF(Q38&gt;=2,파라미터!$B$11,0)+IF(Q38&gt;=3,파라미터!$B$12,0)))+MAX(0,파라미터!$B$5*(IF(Q38&gt;=1,파라미터!$B$10,0)+IF(Q38&gt;=2,파라미터!$B$11,0)+IF(Q38&gt;=3,파라미터!$B$12,0))-파라미터!$B$15))*파라미터!$B$16-Q38*파라미터!$B$7-MAX(0,파라미터!$B$19+파라미터!$B$20-MIN(파라미터!$B$15,파라미터!$B$5*(IF(Q38&gt;=1,파라미터!$B$10,0)+IF(Q38&gt;=2,파라미터!$B$11,0)+IF(Q38&gt;=3,파라미터!$B$12,0))))-IF(MOD($A38-1,파라미터!$B$22)=0,파라미터!$B$21,0)</f>
        <v/>
      </c>
      <c r="S38" s="15">
        <f>MAX(0,S37+R38)</f>
        <v/>
      </c>
    </row>
    <row r="39">
      <c r="A39" s="13" t="n">
        <v>35</v>
      </c>
      <c r="B39" s="14">
        <f>IF(OR($A39&lt;파라미터!$B$6,MOD($A39,파라미터!$B$6)&gt;=1),0,INT((1-MOD($A39,파라미터!$B$6)-1)/파라미터!$B$6)+1)</f>
        <v/>
      </c>
      <c r="C39" s="15">
        <f>((B39*파라미터!$B$5-파라미터!$B$5*(IF(B39&gt;=1,파라미터!$B$10,0)+IF(B39&gt;=2,파라미터!$B$11,0)+IF(B39&gt;=3,파라미터!$B$12,0)))+MAX(0,파라미터!$B$5*(IF(B39&gt;=1,파라미터!$B$10,0)+IF(B39&gt;=2,파라미터!$B$11,0)+IF(B39&gt;=3,파라미터!$B$12,0))-파라미터!$B$15))*파라미터!$B$16-B39*파라미터!$B$7-MAX(0,파라미터!$B$19+파라미터!$B$20-MIN(파라미터!$B$15,파라미터!$B$5*(IF(B39&gt;=1,파라미터!$B$10,0)+IF(B39&gt;=2,파라미터!$B$11,0)+IF(B39&gt;=3,파라미터!$B$12,0))))-IF(MOD($A39-1,파라미터!$B$22)=0,파라미터!$B$21,0)</f>
        <v/>
      </c>
      <c r="D39" s="15">
        <f>MAX(0,D38+C39)</f>
        <v/>
      </c>
      <c r="E39" s="14">
        <f>IF(OR($A39&lt;파라미터!$B$6,MOD($A39,파라미터!$B$6)&gt;=2),0,INT((2-MOD($A39,파라미터!$B$6)-1)/파라미터!$B$6)+1)</f>
        <v/>
      </c>
      <c r="F39" s="15">
        <f>((E39*파라미터!$B$5-파라미터!$B$5*(IF(E39&gt;=1,파라미터!$B$10,0)+IF(E39&gt;=2,파라미터!$B$11,0)+IF(E39&gt;=3,파라미터!$B$12,0)))+MAX(0,파라미터!$B$5*(IF(E39&gt;=1,파라미터!$B$10,0)+IF(E39&gt;=2,파라미터!$B$11,0)+IF(E39&gt;=3,파라미터!$B$12,0))-파라미터!$B$15))*파라미터!$B$16-E39*파라미터!$B$7-MAX(0,파라미터!$B$19+파라미터!$B$20-MIN(파라미터!$B$15,파라미터!$B$5*(IF(E39&gt;=1,파라미터!$B$10,0)+IF(E39&gt;=2,파라미터!$B$11,0)+IF(E39&gt;=3,파라미터!$B$12,0))))-IF(MOD($A39-1,파라미터!$B$22)=0,파라미터!$B$21,0)</f>
        <v/>
      </c>
      <c r="G39" s="15">
        <f>MAX(0,G38+F39)</f>
        <v/>
      </c>
      <c r="H39" s="14">
        <f>IF(OR($A39&lt;파라미터!$B$6,MOD($A39,파라미터!$B$6)&gt;=3),0,INT((3-MOD($A39,파라미터!$B$6)-1)/파라미터!$B$6)+1)</f>
        <v/>
      </c>
      <c r="I39" s="15">
        <f>((H39*파라미터!$B$5-파라미터!$B$5*(IF(H39&gt;=1,파라미터!$B$10,0)+IF(H39&gt;=2,파라미터!$B$11,0)+IF(H39&gt;=3,파라미터!$B$12,0)))+MAX(0,파라미터!$B$5*(IF(H39&gt;=1,파라미터!$B$10,0)+IF(H39&gt;=2,파라미터!$B$11,0)+IF(H39&gt;=3,파라미터!$B$12,0))-파라미터!$B$15))*파라미터!$B$16-H39*파라미터!$B$7-MAX(0,파라미터!$B$19+파라미터!$B$20-MIN(파라미터!$B$15,파라미터!$B$5*(IF(H39&gt;=1,파라미터!$B$10,0)+IF(H39&gt;=2,파라미터!$B$11,0)+IF(H39&gt;=3,파라미터!$B$12,0))))-IF(MOD($A39-1,파라미터!$B$22)=0,파라미터!$B$21,0)</f>
        <v/>
      </c>
      <c r="J39" s="15">
        <f>MAX(0,J38+I39)</f>
        <v/>
      </c>
      <c r="K39" s="14">
        <f>IF(OR($A39&lt;파라미터!$B$6,MOD($A39,파라미터!$B$6)&gt;=5),0,INT((5-MOD($A39,파라미터!$B$6)-1)/파라미터!$B$6)+1)</f>
        <v/>
      </c>
      <c r="L39" s="15">
        <f>((K39*파라미터!$B$5-파라미터!$B$5*(IF(K39&gt;=1,파라미터!$B$10,0)+IF(K39&gt;=2,파라미터!$B$11,0)+IF(K39&gt;=3,파라미터!$B$12,0)))+MAX(0,파라미터!$B$5*(IF(K39&gt;=1,파라미터!$B$10,0)+IF(K39&gt;=2,파라미터!$B$11,0)+IF(K39&gt;=3,파라미터!$B$12,0))-파라미터!$B$15))*파라미터!$B$16-K39*파라미터!$B$7-MAX(0,파라미터!$B$19+파라미터!$B$20-MIN(파라미터!$B$15,파라미터!$B$5*(IF(K39&gt;=1,파라미터!$B$10,0)+IF(K39&gt;=2,파라미터!$B$11,0)+IF(K39&gt;=3,파라미터!$B$12,0))))-IF(MOD($A39-1,파라미터!$B$22)=0,파라미터!$B$21,0)</f>
        <v/>
      </c>
      <c r="M39" s="15">
        <f>MAX(0,M38+L39)</f>
        <v/>
      </c>
      <c r="N39" s="14">
        <f>IF(OR($A39&lt;파라미터!$B$6,MOD($A39,파라미터!$B$6)&gt;=10),0,INT((10-MOD($A39,파라미터!$B$6)-1)/파라미터!$B$6)+1)</f>
        <v/>
      </c>
      <c r="O39" s="15">
        <f>((N39*파라미터!$B$5-파라미터!$B$5*(IF(N39&gt;=1,파라미터!$B$10,0)+IF(N39&gt;=2,파라미터!$B$11,0)+IF(N39&gt;=3,파라미터!$B$12,0)))+MAX(0,파라미터!$B$5*(IF(N39&gt;=1,파라미터!$B$10,0)+IF(N39&gt;=2,파라미터!$B$11,0)+IF(N39&gt;=3,파라미터!$B$12,0))-파라미터!$B$15))*파라미터!$B$16-N39*파라미터!$B$7-MAX(0,파라미터!$B$19+파라미터!$B$20-MIN(파라미터!$B$15,파라미터!$B$5*(IF(N39&gt;=1,파라미터!$B$10,0)+IF(N39&gt;=2,파라미터!$B$11,0)+IF(N39&gt;=3,파라미터!$B$12,0))))-IF(MOD($A39-1,파라미터!$B$22)=0,파라미터!$B$21,0)</f>
        <v/>
      </c>
      <c r="P39" s="15">
        <f>MAX(0,P38+O39)</f>
        <v/>
      </c>
      <c r="Q39" s="14">
        <f>IF(OR($A39&lt;파라미터!$B$6,MOD($A39,파라미터!$B$6)&gt;=20),0,INT((20-MOD($A39,파라미터!$B$6)-1)/파라미터!$B$6)+1)</f>
        <v/>
      </c>
      <c r="R39" s="15">
        <f>((Q39*파라미터!$B$5-파라미터!$B$5*(IF(Q39&gt;=1,파라미터!$B$10,0)+IF(Q39&gt;=2,파라미터!$B$11,0)+IF(Q39&gt;=3,파라미터!$B$12,0)))+MAX(0,파라미터!$B$5*(IF(Q39&gt;=1,파라미터!$B$10,0)+IF(Q39&gt;=2,파라미터!$B$11,0)+IF(Q39&gt;=3,파라미터!$B$12,0))-파라미터!$B$15))*파라미터!$B$16-Q39*파라미터!$B$7-MAX(0,파라미터!$B$19+파라미터!$B$20-MIN(파라미터!$B$15,파라미터!$B$5*(IF(Q39&gt;=1,파라미터!$B$10,0)+IF(Q39&gt;=2,파라미터!$B$11,0)+IF(Q39&gt;=3,파라미터!$B$12,0))))-IF(MOD($A39-1,파라미터!$B$22)=0,파라미터!$B$21,0)</f>
        <v/>
      </c>
      <c r="S39" s="15">
        <f>MAX(0,S38+R39)</f>
        <v/>
      </c>
    </row>
    <row r="40">
      <c r="A40" s="13" t="n">
        <v>36</v>
      </c>
      <c r="B40" s="14">
        <f>IF(OR($A40&lt;파라미터!$B$6,MOD($A40,파라미터!$B$6)&gt;=1),0,INT((1-MOD($A40,파라미터!$B$6)-1)/파라미터!$B$6)+1)</f>
        <v/>
      </c>
      <c r="C40" s="15">
        <f>((B40*파라미터!$B$5-파라미터!$B$5*(IF(B40&gt;=1,파라미터!$B$10,0)+IF(B40&gt;=2,파라미터!$B$11,0)+IF(B40&gt;=3,파라미터!$B$12,0)))+MAX(0,파라미터!$B$5*(IF(B40&gt;=1,파라미터!$B$10,0)+IF(B40&gt;=2,파라미터!$B$11,0)+IF(B40&gt;=3,파라미터!$B$12,0))-파라미터!$B$15))*파라미터!$B$16-B40*파라미터!$B$7-MAX(0,파라미터!$B$19+파라미터!$B$20-MIN(파라미터!$B$15,파라미터!$B$5*(IF(B40&gt;=1,파라미터!$B$10,0)+IF(B40&gt;=2,파라미터!$B$11,0)+IF(B40&gt;=3,파라미터!$B$12,0))))-IF(MOD($A40-1,파라미터!$B$22)=0,파라미터!$B$21,0)</f>
        <v/>
      </c>
      <c r="D40" s="15">
        <f>MAX(0,D39+C40)</f>
        <v/>
      </c>
      <c r="E40" s="14">
        <f>IF(OR($A40&lt;파라미터!$B$6,MOD($A40,파라미터!$B$6)&gt;=2),0,INT((2-MOD($A40,파라미터!$B$6)-1)/파라미터!$B$6)+1)</f>
        <v/>
      </c>
      <c r="F40" s="15">
        <f>((E40*파라미터!$B$5-파라미터!$B$5*(IF(E40&gt;=1,파라미터!$B$10,0)+IF(E40&gt;=2,파라미터!$B$11,0)+IF(E40&gt;=3,파라미터!$B$12,0)))+MAX(0,파라미터!$B$5*(IF(E40&gt;=1,파라미터!$B$10,0)+IF(E40&gt;=2,파라미터!$B$11,0)+IF(E40&gt;=3,파라미터!$B$12,0))-파라미터!$B$15))*파라미터!$B$16-E40*파라미터!$B$7-MAX(0,파라미터!$B$19+파라미터!$B$20-MIN(파라미터!$B$15,파라미터!$B$5*(IF(E40&gt;=1,파라미터!$B$10,0)+IF(E40&gt;=2,파라미터!$B$11,0)+IF(E40&gt;=3,파라미터!$B$12,0))))-IF(MOD($A40-1,파라미터!$B$22)=0,파라미터!$B$21,0)</f>
        <v/>
      </c>
      <c r="G40" s="15">
        <f>MAX(0,G39+F40)</f>
        <v/>
      </c>
      <c r="H40" s="14">
        <f>IF(OR($A40&lt;파라미터!$B$6,MOD($A40,파라미터!$B$6)&gt;=3),0,INT((3-MOD($A40,파라미터!$B$6)-1)/파라미터!$B$6)+1)</f>
        <v/>
      </c>
      <c r="I40" s="15">
        <f>((H40*파라미터!$B$5-파라미터!$B$5*(IF(H40&gt;=1,파라미터!$B$10,0)+IF(H40&gt;=2,파라미터!$B$11,0)+IF(H40&gt;=3,파라미터!$B$12,0)))+MAX(0,파라미터!$B$5*(IF(H40&gt;=1,파라미터!$B$10,0)+IF(H40&gt;=2,파라미터!$B$11,0)+IF(H40&gt;=3,파라미터!$B$12,0))-파라미터!$B$15))*파라미터!$B$16-H40*파라미터!$B$7-MAX(0,파라미터!$B$19+파라미터!$B$20-MIN(파라미터!$B$15,파라미터!$B$5*(IF(H40&gt;=1,파라미터!$B$10,0)+IF(H40&gt;=2,파라미터!$B$11,0)+IF(H40&gt;=3,파라미터!$B$12,0))))-IF(MOD($A40-1,파라미터!$B$22)=0,파라미터!$B$21,0)</f>
        <v/>
      </c>
      <c r="J40" s="15">
        <f>MAX(0,J39+I40)</f>
        <v/>
      </c>
      <c r="K40" s="14">
        <f>IF(OR($A40&lt;파라미터!$B$6,MOD($A40,파라미터!$B$6)&gt;=5),0,INT((5-MOD($A40,파라미터!$B$6)-1)/파라미터!$B$6)+1)</f>
        <v/>
      </c>
      <c r="L40" s="15">
        <f>((K40*파라미터!$B$5-파라미터!$B$5*(IF(K40&gt;=1,파라미터!$B$10,0)+IF(K40&gt;=2,파라미터!$B$11,0)+IF(K40&gt;=3,파라미터!$B$12,0)))+MAX(0,파라미터!$B$5*(IF(K40&gt;=1,파라미터!$B$10,0)+IF(K40&gt;=2,파라미터!$B$11,0)+IF(K40&gt;=3,파라미터!$B$12,0))-파라미터!$B$15))*파라미터!$B$16-K40*파라미터!$B$7-MAX(0,파라미터!$B$19+파라미터!$B$20-MIN(파라미터!$B$15,파라미터!$B$5*(IF(K40&gt;=1,파라미터!$B$10,0)+IF(K40&gt;=2,파라미터!$B$11,0)+IF(K40&gt;=3,파라미터!$B$12,0))))-IF(MOD($A40-1,파라미터!$B$22)=0,파라미터!$B$21,0)</f>
        <v/>
      </c>
      <c r="M40" s="15">
        <f>MAX(0,M39+L40)</f>
        <v/>
      </c>
      <c r="N40" s="14">
        <f>IF(OR($A40&lt;파라미터!$B$6,MOD($A40,파라미터!$B$6)&gt;=10),0,INT((10-MOD($A40,파라미터!$B$6)-1)/파라미터!$B$6)+1)</f>
        <v/>
      </c>
      <c r="O40" s="15">
        <f>((N40*파라미터!$B$5-파라미터!$B$5*(IF(N40&gt;=1,파라미터!$B$10,0)+IF(N40&gt;=2,파라미터!$B$11,0)+IF(N40&gt;=3,파라미터!$B$12,0)))+MAX(0,파라미터!$B$5*(IF(N40&gt;=1,파라미터!$B$10,0)+IF(N40&gt;=2,파라미터!$B$11,0)+IF(N40&gt;=3,파라미터!$B$12,0))-파라미터!$B$15))*파라미터!$B$16-N40*파라미터!$B$7-MAX(0,파라미터!$B$19+파라미터!$B$20-MIN(파라미터!$B$15,파라미터!$B$5*(IF(N40&gt;=1,파라미터!$B$10,0)+IF(N40&gt;=2,파라미터!$B$11,0)+IF(N40&gt;=3,파라미터!$B$12,0))))-IF(MOD($A40-1,파라미터!$B$22)=0,파라미터!$B$21,0)</f>
        <v/>
      </c>
      <c r="P40" s="15">
        <f>MAX(0,P39+O40)</f>
        <v/>
      </c>
      <c r="Q40" s="14">
        <f>IF(OR($A40&lt;파라미터!$B$6,MOD($A40,파라미터!$B$6)&gt;=20),0,INT((20-MOD($A40,파라미터!$B$6)-1)/파라미터!$B$6)+1)</f>
        <v/>
      </c>
      <c r="R40" s="15">
        <f>((Q40*파라미터!$B$5-파라미터!$B$5*(IF(Q40&gt;=1,파라미터!$B$10,0)+IF(Q40&gt;=2,파라미터!$B$11,0)+IF(Q40&gt;=3,파라미터!$B$12,0)))+MAX(0,파라미터!$B$5*(IF(Q40&gt;=1,파라미터!$B$10,0)+IF(Q40&gt;=2,파라미터!$B$11,0)+IF(Q40&gt;=3,파라미터!$B$12,0))-파라미터!$B$15))*파라미터!$B$16-Q40*파라미터!$B$7-MAX(0,파라미터!$B$19+파라미터!$B$20-MIN(파라미터!$B$15,파라미터!$B$5*(IF(Q40&gt;=1,파라미터!$B$10,0)+IF(Q40&gt;=2,파라미터!$B$11,0)+IF(Q40&gt;=3,파라미터!$B$12,0))))-IF(MOD($A40-1,파라미터!$B$22)=0,파라미터!$B$21,0)</f>
        <v/>
      </c>
      <c r="S40" s="15">
        <f>MAX(0,S39+R40)</f>
        <v/>
      </c>
    </row>
    <row r="41">
      <c r="A41" s="13" t="n">
        <v>37</v>
      </c>
      <c r="B41" s="14">
        <f>IF(OR($A41&lt;파라미터!$B$6,MOD($A41,파라미터!$B$6)&gt;=1),0,INT((1-MOD($A41,파라미터!$B$6)-1)/파라미터!$B$6)+1)</f>
        <v/>
      </c>
      <c r="C41" s="15">
        <f>((B41*파라미터!$B$5-파라미터!$B$5*(IF(B41&gt;=1,파라미터!$B$10,0)+IF(B41&gt;=2,파라미터!$B$11,0)+IF(B41&gt;=3,파라미터!$B$12,0)))+MAX(0,파라미터!$B$5*(IF(B41&gt;=1,파라미터!$B$10,0)+IF(B41&gt;=2,파라미터!$B$11,0)+IF(B41&gt;=3,파라미터!$B$12,0))-파라미터!$B$15))*파라미터!$B$16-B41*파라미터!$B$7-MAX(0,파라미터!$B$19+파라미터!$B$20-MIN(파라미터!$B$15,파라미터!$B$5*(IF(B41&gt;=1,파라미터!$B$10,0)+IF(B41&gt;=2,파라미터!$B$11,0)+IF(B41&gt;=3,파라미터!$B$12,0))))-IF(MOD($A41-1,파라미터!$B$22)=0,파라미터!$B$21,0)</f>
        <v/>
      </c>
      <c r="D41" s="15">
        <f>MAX(0,D40+C41)</f>
        <v/>
      </c>
      <c r="E41" s="14">
        <f>IF(OR($A41&lt;파라미터!$B$6,MOD($A41,파라미터!$B$6)&gt;=2),0,INT((2-MOD($A41,파라미터!$B$6)-1)/파라미터!$B$6)+1)</f>
        <v/>
      </c>
      <c r="F41" s="15">
        <f>((E41*파라미터!$B$5-파라미터!$B$5*(IF(E41&gt;=1,파라미터!$B$10,0)+IF(E41&gt;=2,파라미터!$B$11,0)+IF(E41&gt;=3,파라미터!$B$12,0)))+MAX(0,파라미터!$B$5*(IF(E41&gt;=1,파라미터!$B$10,0)+IF(E41&gt;=2,파라미터!$B$11,0)+IF(E41&gt;=3,파라미터!$B$12,0))-파라미터!$B$15))*파라미터!$B$16-E41*파라미터!$B$7-MAX(0,파라미터!$B$19+파라미터!$B$20-MIN(파라미터!$B$15,파라미터!$B$5*(IF(E41&gt;=1,파라미터!$B$10,0)+IF(E41&gt;=2,파라미터!$B$11,0)+IF(E41&gt;=3,파라미터!$B$12,0))))-IF(MOD($A41-1,파라미터!$B$22)=0,파라미터!$B$21,0)</f>
        <v/>
      </c>
      <c r="G41" s="15">
        <f>MAX(0,G40+F41)</f>
        <v/>
      </c>
      <c r="H41" s="14">
        <f>IF(OR($A41&lt;파라미터!$B$6,MOD($A41,파라미터!$B$6)&gt;=3),0,INT((3-MOD($A41,파라미터!$B$6)-1)/파라미터!$B$6)+1)</f>
        <v/>
      </c>
      <c r="I41" s="15">
        <f>((H41*파라미터!$B$5-파라미터!$B$5*(IF(H41&gt;=1,파라미터!$B$10,0)+IF(H41&gt;=2,파라미터!$B$11,0)+IF(H41&gt;=3,파라미터!$B$12,0)))+MAX(0,파라미터!$B$5*(IF(H41&gt;=1,파라미터!$B$10,0)+IF(H41&gt;=2,파라미터!$B$11,0)+IF(H41&gt;=3,파라미터!$B$12,0))-파라미터!$B$15))*파라미터!$B$16-H41*파라미터!$B$7-MAX(0,파라미터!$B$19+파라미터!$B$20-MIN(파라미터!$B$15,파라미터!$B$5*(IF(H41&gt;=1,파라미터!$B$10,0)+IF(H41&gt;=2,파라미터!$B$11,0)+IF(H41&gt;=3,파라미터!$B$12,0))))-IF(MOD($A41-1,파라미터!$B$22)=0,파라미터!$B$21,0)</f>
        <v/>
      </c>
      <c r="J41" s="15">
        <f>MAX(0,J40+I41)</f>
        <v/>
      </c>
      <c r="K41" s="14">
        <f>IF(OR($A41&lt;파라미터!$B$6,MOD($A41,파라미터!$B$6)&gt;=5),0,INT((5-MOD($A41,파라미터!$B$6)-1)/파라미터!$B$6)+1)</f>
        <v/>
      </c>
      <c r="L41" s="15">
        <f>((K41*파라미터!$B$5-파라미터!$B$5*(IF(K41&gt;=1,파라미터!$B$10,0)+IF(K41&gt;=2,파라미터!$B$11,0)+IF(K41&gt;=3,파라미터!$B$12,0)))+MAX(0,파라미터!$B$5*(IF(K41&gt;=1,파라미터!$B$10,0)+IF(K41&gt;=2,파라미터!$B$11,0)+IF(K41&gt;=3,파라미터!$B$12,0))-파라미터!$B$15))*파라미터!$B$16-K41*파라미터!$B$7-MAX(0,파라미터!$B$19+파라미터!$B$20-MIN(파라미터!$B$15,파라미터!$B$5*(IF(K41&gt;=1,파라미터!$B$10,0)+IF(K41&gt;=2,파라미터!$B$11,0)+IF(K41&gt;=3,파라미터!$B$12,0))))-IF(MOD($A41-1,파라미터!$B$22)=0,파라미터!$B$21,0)</f>
        <v/>
      </c>
      <c r="M41" s="15">
        <f>MAX(0,M40+L41)</f>
        <v/>
      </c>
      <c r="N41" s="14">
        <f>IF(OR($A41&lt;파라미터!$B$6,MOD($A41,파라미터!$B$6)&gt;=10),0,INT((10-MOD($A41,파라미터!$B$6)-1)/파라미터!$B$6)+1)</f>
        <v/>
      </c>
      <c r="O41" s="15">
        <f>((N41*파라미터!$B$5-파라미터!$B$5*(IF(N41&gt;=1,파라미터!$B$10,0)+IF(N41&gt;=2,파라미터!$B$11,0)+IF(N41&gt;=3,파라미터!$B$12,0)))+MAX(0,파라미터!$B$5*(IF(N41&gt;=1,파라미터!$B$10,0)+IF(N41&gt;=2,파라미터!$B$11,0)+IF(N41&gt;=3,파라미터!$B$12,0))-파라미터!$B$15))*파라미터!$B$16-N41*파라미터!$B$7-MAX(0,파라미터!$B$19+파라미터!$B$20-MIN(파라미터!$B$15,파라미터!$B$5*(IF(N41&gt;=1,파라미터!$B$10,0)+IF(N41&gt;=2,파라미터!$B$11,0)+IF(N41&gt;=3,파라미터!$B$12,0))))-IF(MOD($A41-1,파라미터!$B$22)=0,파라미터!$B$21,0)</f>
        <v/>
      </c>
      <c r="P41" s="15">
        <f>MAX(0,P40+O41)</f>
        <v/>
      </c>
      <c r="Q41" s="14">
        <f>IF(OR($A41&lt;파라미터!$B$6,MOD($A41,파라미터!$B$6)&gt;=20),0,INT((20-MOD($A41,파라미터!$B$6)-1)/파라미터!$B$6)+1)</f>
        <v/>
      </c>
      <c r="R41" s="15">
        <f>((Q41*파라미터!$B$5-파라미터!$B$5*(IF(Q41&gt;=1,파라미터!$B$10,0)+IF(Q41&gt;=2,파라미터!$B$11,0)+IF(Q41&gt;=3,파라미터!$B$12,0)))+MAX(0,파라미터!$B$5*(IF(Q41&gt;=1,파라미터!$B$10,0)+IF(Q41&gt;=2,파라미터!$B$11,0)+IF(Q41&gt;=3,파라미터!$B$12,0))-파라미터!$B$15))*파라미터!$B$16-Q41*파라미터!$B$7-MAX(0,파라미터!$B$19+파라미터!$B$20-MIN(파라미터!$B$15,파라미터!$B$5*(IF(Q41&gt;=1,파라미터!$B$10,0)+IF(Q41&gt;=2,파라미터!$B$11,0)+IF(Q41&gt;=3,파라미터!$B$12,0))))-IF(MOD($A41-1,파라미터!$B$22)=0,파라미터!$B$21,0)</f>
        <v/>
      </c>
      <c r="S41" s="15">
        <f>MAX(0,S40+R41)</f>
        <v/>
      </c>
    </row>
    <row r="42">
      <c r="A42" s="13" t="n">
        <v>38</v>
      </c>
      <c r="B42" s="14">
        <f>IF(OR($A42&lt;파라미터!$B$6,MOD($A42,파라미터!$B$6)&gt;=1),0,INT((1-MOD($A42,파라미터!$B$6)-1)/파라미터!$B$6)+1)</f>
        <v/>
      </c>
      <c r="C42" s="15">
        <f>((B42*파라미터!$B$5-파라미터!$B$5*(IF(B42&gt;=1,파라미터!$B$10,0)+IF(B42&gt;=2,파라미터!$B$11,0)+IF(B42&gt;=3,파라미터!$B$12,0)))+MAX(0,파라미터!$B$5*(IF(B42&gt;=1,파라미터!$B$10,0)+IF(B42&gt;=2,파라미터!$B$11,0)+IF(B42&gt;=3,파라미터!$B$12,0))-파라미터!$B$15))*파라미터!$B$16-B42*파라미터!$B$7-MAX(0,파라미터!$B$19+파라미터!$B$20-MIN(파라미터!$B$15,파라미터!$B$5*(IF(B42&gt;=1,파라미터!$B$10,0)+IF(B42&gt;=2,파라미터!$B$11,0)+IF(B42&gt;=3,파라미터!$B$12,0))))-IF(MOD($A42-1,파라미터!$B$22)=0,파라미터!$B$21,0)</f>
        <v/>
      </c>
      <c r="D42" s="15">
        <f>MAX(0,D41+C42)</f>
        <v/>
      </c>
      <c r="E42" s="14">
        <f>IF(OR($A42&lt;파라미터!$B$6,MOD($A42,파라미터!$B$6)&gt;=2),0,INT((2-MOD($A42,파라미터!$B$6)-1)/파라미터!$B$6)+1)</f>
        <v/>
      </c>
      <c r="F42" s="15">
        <f>((E42*파라미터!$B$5-파라미터!$B$5*(IF(E42&gt;=1,파라미터!$B$10,0)+IF(E42&gt;=2,파라미터!$B$11,0)+IF(E42&gt;=3,파라미터!$B$12,0)))+MAX(0,파라미터!$B$5*(IF(E42&gt;=1,파라미터!$B$10,0)+IF(E42&gt;=2,파라미터!$B$11,0)+IF(E42&gt;=3,파라미터!$B$12,0))-파라미터!$B$15))*파라미터!$B$16-E42*파라미터!$B$7-MAX(0,파라미터!$B$19+파라미터!$B$20-MIN(파라미터!$B$15,파라미터!$B$5*(IF(E42&gt;=1,파라미터!$B$10,0)+IF(E42&gt;=2,파라미터!$B$11,0)+IF(E42&gt;=3,파라미터!$B$12,0))))-IF(MOD($A42-1,파라미터!$B$22)=0,파라미터!$B$21,0)</f>
        <v/>
      </c>
      <c r="G42" s="15">
        <f>MAX(0,G41+F42)</f>
        <v/>
      </c>
      <c r="H42" s="14">
        <f>IF(OR($A42&lt;파라미터!$B$6,MOD($A42,파라미터!$B$6)&gt;=3),0,INT((3-MOD($A42,파라미터!$B$6)-1)/파라미터!$B$6)+1)</f>
        <v/>
      </c>
      <c r="I42" s="15">
        <f>((H42*파라미터!$B$5-파라미터!$B$5*(IF(H42&gt;=1,파라미터!$B$10,0)+IF(H42&gt;=2,파라미터!$B$11,0)+IF(H42&gt;=3,파라미터!$B$12,0)))+MAX(0,파라미터!$B$5*(IF(H42&gt;=1,파라미터!$B$10,0)+IF(H42&gt;=2,파라미터!$B$11,0)+IF(H42&gt;=3,파라미터!$B$12,0))-파라미터!$B$15))*파라미터!$B$16-H42*파라미터!$B$7-MAX(0,파라미터!$B$19+파라미터!$B$20-MIN(파라미터!$B$15,파라미터!$B$5*(IF(H42&gt;=1,파라미터!$B$10,0)+IF(H42&gt;=2,파라미터!$B$11,0)+IF(H42&gt;=3,파라미터!$B$12,0))))-IF(MOD($A42-1,파라미터!$B$22)=0,파라미터!$B$21,0)</f>
        <v/>
      </c>
      <c r="J42" s="15">
        <f>MAX(0,J41+I42)</f>
        <v/>
      </c>
      <c r="K42" s="14">
        <f>IF(OR($A42&lt;파라미터!$B$6,MOD($A42,파라미터!$B$6)&gt;=5),0,INT((5-MOD($A42,파라미터!$B$6)-1)/파라미터!$B$6)+1)</f>
        <v/>
      </c>
      <c r="L42" s="15">
        <f>((K42*파라미터!$B$5-파라미터!$B$5*(IF(K42&gt;=1,파라미터!$B$10,0)+IF(K42&gt;=2,파라미터!$B$11,0)+IF(K42&gt;=3,파라미터!$B$12,0)))+MAX(0,파라미터!$B$5*(IF(K42&gt;=1,파라미터!$B$10,0)+IF(K42&gt;=2,파라미터!$B$11,0)+IF(K42&gt;=3,파라미터!$B$12,0))-파라미터!$B$15))*파라미터!$B$16-K42*파라미터!$B$7-MAX(0,파라미터!$B$19+파라미터!$B$20-MIN(파라미터!$B$15,파라미터!$B$5*(IF(K42&gt;=1,파라미터!$B$10,0)+IF(K42&gt;=2,파라미터!$B$11,0)+IF(K42&gt;=3,파라미터!$B$12,0))))-IF(MOD($A42-1,파라미터!$B$22)=0,파라미터!$B$21,0)</f>
        <v/>
      </c>
      <c r="M42" s="15">
        <f>MAX(0,M41+L42)</f>
        <v/>
      </c>
      <c r="N42" s="14">
        <f>IF(OR($A42&lt;파라미터!$B$6,MOD($A42,파라미터!$B$6)&gt;=10),0,INT((10-MOD($A42,파라미터!$B$6)-1)/파라미터!$B$6)+1)</f>
        <v/>
      </c>
      <c r="O42" s="15">
        <f>((N42*파라미터!$B$5-파라미터!$B$5*(IF(N42&gt;=1,파라미터!$B$10,0)+IF(N42&gt;=2,파라미터!$B$11,0)+IF(N42&gt;=3,파라미터!$B$12,0)))+MAX(0,파라미터!$B$5*(IF(N42&gt;=1,파라미터!$B$10,0)+IF(N42&gt;=2,파라미터!$B$11,0)+IF(N42&gt;=3,파라미터!$B$12,0))-파라미터!$B$15))*파라미터!$B$16-N42*파라미터!$B$7-MAX(0,파라미터!$B$19+파라미터!$B$20-MIN(파라미터!$B$15,파라미터!$B$5*(IF(N42&gt;=1,파라미터!$B$10,0)+IF(N42&gt;=2,파라미터!$B$11,0)+IF(N42&gt;=3,파라미터!$B$12,0))))-IF(MOD($A42-1,파라미터!$B$22)=0,파라미터!$B$21,0)</f>
        <v/>
      </c>
      <c r="P42" s="15">
        <f>MAX(0,P41+O42)</f>
        <v/>
      </c>
      <c r="Q42" s="14">
        <f>IF(OR($A42&lt;파라미터!$B$6,MOD($A42,파라미터!$B$6)&gt;=20),0,INT((20-MOD($A42,파라미터!$B$6)-1)/파라미터!$B$6)+1)</f>
        <v/>
      </c>
      <c r="R42" s="15">
        <f>((Q42*파라미터!$B$5-파라미터!$B$5*(IF(Q42&gt;=1,파라미터!$B$10,0)+IF(Q42&gt;=2,파라미터!$B$11,0)+IF(Q42&gt;=3,파라미터!$B$12,0)))+MAX(0,파라미터!$B$5*(IF(Q42&gt;=1,파라미터!$B$10,0)+IF(Q42&gt;=2,파라미터!$B$11,0)+IF(Q42&gt;=3,파라미터!$B$12,0))-파라미터!$B$15))*파라미터!$B$16-Q42*파라미터!$B$7-MAX(0,파라미터!$B$19+파라미터!$B$20-MIN(파라미터!$B$15,파라미터!$B$5*(IF(Q42&gt;=1,파라미터!$B$10,0)+IF(Q42&gt;=2,파라미터!$B$11,0)+IF(Q42&gt;=3,파라미터!$B$12,0))))-IF(MOD($A42-1,파라미터!$B$22)=0,파라미터!$B$21,0)</f>
        <v/>
      </c>
      <c r="S42" s="15">
        <f>MAX(0,S41+R42)</f>
        <v/>
      </c>
    </row>
    <row r="43">
      <c r="A43" s="13" t="n">
        <v>39</v>
      </c>
      <c r="B43" s="14">
        <f>IF(OR($A43&lt;파라미터!$B$6,MOD($A43,파라미터!$B$6)&gt;=1),0,INT((1-MOD($A43,파라미터!$B$6)-1)/파라미터!$B$6)+1)</f>
        <v/>
      </c>
      <c r="C43" s="15">
        <f>((B43*파라미터!$B$5-파라미터!$B$5*(IF(B43&gt;=1,파라미터!$B$10,0)+IF(B43&gt;=2,파라미터!$B$11,0)+IF(B43&gt;=3,파라미터!$B$12,0)))+MAX(0,파라미터!$B$5*(IF(B43&gt;=1,파라미터!$B$10,0)+IF(B43&gt;=2,파라미터!$B$11,0)+IF(B43&gt;=3,파라미터!$B$12,0))-파라미터!$B$15))*파라미터!$B$16-B43*파라미터!$B$7-MAX(0,파라미터!$B$19+파라미터!$B$20-MIN(파라미터!$B$15,파라미터!$B$5*(IF(B43&gt;=1,파라미터!$B$10,0)+IF(B43&gt;=2,파라미터!$B$11,0)+IF(B43&gt;=3,파라미터!$B$12,0))))-IF(MOD($A43-1,파라미터!$B$22)=0,파라미터!$B$21,0)</f>
        <v/>
      </c>
      <c r="D43" s="15">
        <f>MAX(0,D42+C43)</f>
        <v/>
      </c>
      <c r="E43" s="14">
        <f>IF(OR($A43&lt;파라미터!$B$6,MOD($A43,파라미터!$B$6)&gt;=2),0,INT((2-MOD($A43,파라미터!$B$6)-1)/파라미터!$B$6)+1)</f>
        <v/>
      </c>
      <c r="F43" s="15">
        <f>((E43*파라미터!$B$5-파라미터!$B$5*(IF(E43&gt;=1,파라미터!$B$10,0)+IF(E43&gt;=2,파라미터!$B$11,0)+IF(E43&gt;=3,파라미터!$B$12,0)))+MAX(0,파라미터!$B$5*(IF(E43&gt;=1,파라미터!$B$10,0)+IF(E43&gt;=2,파라미터!$B$11,0)+IF(E43&gt;=3,파라미터!$B$12,0))-파라미터!$B$15))*파라미터!$B$16-E43*파라미터!$B$7-MAX(0,파라미터!$B$19+파라미터!$B$20-MIN(파라미터!$B$15,파라미터!$B$5*(IF(E43&gt;=1,파라미터!$B$10,0)+IF(E43&gt;=2,파라미터!$B$11,0)+IF(E43&gt;=3,파라미터!$B$12,0))))-IF(MOD($A43-1,파라미터!$B$22)=0,파라미터!$B$21,0)</f>
        <v/>
      </c>
      <c r="G43" s="15">
        <f>MAX(0,G42+F43)</f>
        <v/>
      </c>
      <c r="H43" s="14">
        <f>IF(OR($A43&lt;파라미터!$B$6,MOD($A43,파라미터!$B$6)&gt;=3),0,INT((3-MOD($A43,파라미터!$B$6)-1)/파라미터!$B$6)+1)</f>
        <v/>
      </c>
      <c r="I43" s="15">
        <f>((H43*파라미터!$B$5-파라미터!$B$5*(IF(H43&gt;=1,파라미터!$B$10,0)+IF(H43&gt;=2,파라미터!$B$11,0)+IF(H43&gt;=3,파라미터!$B$12,0)))+MAX(0,파라미터!$B$5*(IF(H43&gt;=1,파라미터!$B$10,0)+IF(H43&gt;=2,파라미터!$B$11,0)+IF(H43&gt;=3,파라미터!$B$12,0))-파라미터!$B$15))*파라미터!$B$16-H43*파라미터!$B$7-MAX(0,파라미터!$B$19+파라미터!$B$20-MIN(파라미터!$B$15,파라미터!$B$5*(IF(H43&gt;=1,파라미터!$B$10,0)+IF(H43&gt;=2,파라미터!$B$11,0)+IF(H43&gt;=3,파라미터!$B$12,0))))-IF(MOD($A43-1,파라미터!$B$22)=0,파라미터!$B$21,0)</f>
        <v/>
      </c>
      <c r="J43" s="15">
        <f>MAX(0,J42+I43)</f>
        <v/>
      </c>
      <c r="K43" s="14">
        <f>IF(OR($A43&lt;파라미터!$B$6,MOD($A43,파라미터!$B$6)&gt;=5),0,INT((5-MOD($A43,파라미터!$B$6)-1)/파라미터!$B$6)+1)</f>
        <v/>
      </c>
      <c r="L43" s="15">
        <f>((K43*파라미터!$B$5-파라미터!$B$5*(IF(K43&gt;=1,파라미터!$B$10,0)+IF(K43&gt;=2,파라미터!$B$11,0)+IF(K43&gt;=3,파라미터!$B$12,0)))+MAX(0,파라미터!$B$5*(IF(K43&gt;=1,파라미터!$B$10,0)+IF(K43&gt;=2,파라미터!$B$11,0)+IF(K43&gt;=3,파라미터!$B$12,0))-파라미터!$B$15))*파라미터!$B$16-K43*파라미터!$B$7-MAX(0,파라미터!$B$19+파라미터!$B$20-MIN(파라미터!$B$15,파라미터!$B$5*(IF(K43&gt;=1,파라미터!$B$10,0)+IF(K43&gt;=2,파라미터!$B$11,0)+IF(K43&gt;=3,파라미터!$B$12,0))))-IF(MOD($A43-1,파라미터!$B$22)=0,파라미터!$B$21,0)</f>
        <v/>
      </c>
      <c r="M43" s="15">
        <f>MAX(0,M42+L43)</f>
        <v/>
      </c>
      <c r="N43" s="14">
        <f>IF(OR($A43&lt;파라미터!$B$6,MOD($A43,파라미터!$B$6)&gt;=10),0,INT((10-MOD($A43,파라미터!$B$6)-1)/파라미터!$B$6)+1)</f>
        <v/>
      </c>
      <c r="O43" s="15">
        <f>((N43*파라미터!$B$5-파라미터!$B$5*(IF(N43&gt;=1,파라미터!$B$10,0)+IF(N43&gt;=2,파라미터!$B$11,0)+IF(N43&gt;=3,파라미터!$B$12,0)))+MAX(0,파라미터!$B$5*(IF(N43&gt;=1,파라미터!$B$10,0)+IF(N43&gt;=2,파라미터!$B$11,0)+IF(N43&gt;=3,파라미터!$B$12,0))-파라미터!$B$15))*파라미터!$B$16-N43*파라미터!$B$7-MAX(0,파라미터!$B$19+파라미터!$B$20-MIN(파라미터!$B$15,파라미터!$B$5*(IF(N43&gt;=1,파라미터!$B$10,0)+IF(N43&gt;=2,파라미터!$B$11,0)+IF(N43&gt;=3,파라미터!$B$12,0))))-IF(MOD($A43-1,파라미터!$B$22)=0,파라미터!$B$21,0)</f>
        <v/>
      </c>
      <c r="P43" s="15">
        <f>MAX(0,P42+O43)</f>
        <v/>
      </c>
      <c r="Q43" s="14">
        <f>IF(OR($A43&lt;파라미터!$B$6,MOD($A43,파라미터!$B$6)&gt;=20),0,INT((20-MOD($A43,파라미터!$B$6)-1)/파라미터!$B$6)+1)</f>
        <v/>
      </c>
      <c r="R43" s="15">
        <f>((Q43*파라미터!$B$5-파라미터!$B$5*(IF(Q43&gt;=1,파라미터!$B$10,0)+IF(Q43&gt;=2,파라미터!$B$11,0)+IF(Q43&gt;=3,파라미터!$B$12,0)))+MAX(0,파라미터!$B$5*(IF(Q43&gt;=1,파라미터!$B$10,0)+IF(Q43&gt;=2,파라미터!$B$11,0)+IF(Q43&gt;=3,파라미터!$B$12,0))-파라미터!$B$15))*파라미터!$B$16-Q43*파라미터!$B$7-MAX(0,파라미터!$B$19+파라미터!$B$20-MIN(파라미터!$B$15,파라미터!$B$5*(IF(Q43&gt;=1,파라미터!$B$10,0)+IF(Q43&gt;=2,파라미터!$B$11,0)+IF(Q43&gt;=3,파라미터!$B$12,0))))-IF(MOD($A43-1,파라미터!$B$22)=0,파라미터!$B$21,0)</f>
        <v/>
      </c>
      <c r="S43" s="15">
        <f>MAX(0,S42+R43)</f>
        <v/>
      </c>
    </row>
    <row r="44">
      <c r="A44" s="13" t="n">
        <v>40</v>
      </c>
      <c r="B44" s="14">
        <f>IF(OR($A44&lt;파라미터!$B$6,MOD($A44,파라미터!$B$6)&gt;=1),0,INT((1-MOD($A44,파라미터!$B$6)-1)/파라미터!$B$6)+1)</f>
        <v/>
      </c>
      <c r="C44" s="15">
        <f>((B44*파라미터!$B$5-파라미터!$B$5*(IF(B44&gt;=1,파라미터!$B$10,0)+IF(B44&gt;=2,파라미터!$B$11,0)+IF(B44&gt;=3,파라미터!$B$12,0)))+MAX(0,파라미터!$B$5*(IF(B44&gt;=1,파라미터!$B$10,0)+IF(B44&gt;=2,파라미터!$B$11,0)+IF(B44&gt;=3,파라미터!$B$12,0))-파라미터!$B$15))*파라미터!$B$16-B44*파라미터!$B$7-MAX(0,파라미터!$B$19+파라미터!$B$20-MIN(파라미터!$B$15,파라미터!$B$5*(IF(B44&gt;=1,파라미터!$B$10,0)+IF(B44&gt;=2,파라미터!$B$11,0)+IF(B44&gt;=3,파라미터!$B$12,0))))-IF(MOD($A44-1,파라미터!$B$22)=0,파라미터!$B$21,0)</f>
        <v/>
      </c>
      <c r="D44" s="15">
        <f>MAX(0,D43+C44)</f>
        <v/>
      </c>
      <c r="E44" s="14">
        <f>IF(OR($A44&lt;파라미터!$B$6,MOD($A44,파라미터!$B$6)&gt;=2),0,INT((2-MOD($A44,파라미터!$B$6)-1)/파라미터!$B$6)+1)</f>
        <v/>
      </c>
      <c r="F44" s="15">
        <f>((E44*파라미터!$B$5-파라미터!$B$5*(IF(E44&gt;=1,파라미터!$B$10,0)+IF(E44&gt;=2,파라미터!$B$11,0)+IF(E44&gt;=3,파라미터!$B$12,0)))+MAX(0,파라미터!$B$5*(IF(E44&gt;=1,파라미터!$B$10,0)+IF(E44&gt;=2,파라미터!$B$11,0)+IF(E44&gt;=3,파라미터!$B$12,0))-파라미터!$B$15))*파라미터!$B$16-E44*파라미터!$B$7-MAX(0,파라미터!$B$19+파라미터!$B$20-MIN(파라미터!$B$15,파라미터!$B$5*(IF(E44&gt;=1,파라미터!$B$10,0)+IF(E44&gt;=2,파라미터!$B$11,0)+IF(E44&gt;=3,파라미터!$B$12,0))))-IF(MOD($A44-1,파라미터!$B$22)=0,파라미터!$B$21,0)</f>
        <v/>
      </c>
      <c r="G44" s="15">
        <f>MAX(0,G43+F44)</f>
        <v/>
      </c>
      <c r="H44" s="14">
        <f>IF(OR($A44&lt;파라미터!$B$6,MOD($A44,파라미터!$B$6)&gt;=3),0,INT((3-MOD($A44,파라미터!$B$6)-1)/파라미터!$B$6)+1)</f>
        <v/>
      </c>
      <c r="I44" s="15">
        <f>((H44*파라미터!$B$5-파라미터!$B$5*(IF(H44&gt;=1,파라미터!$B$10,0)+IF(H44&gt;=2,파라미터!$B$11,0)+IF(H44&gt;=3,파라미터!$B$12,0)))+MAX(0,파라미터!$B$5*(IF(H44&gt;=1,파라미터!$B$10,0)+IF(H44&gt;=2,파라미터!$B$11,0)+IF(H44&gt;=3,파라미터!$B$12,0))-파라미터!$B$15))*파라미터!$B$16-H44*파라미터!$B$7-MAX(0,파라미터!$B$19+파라미터!$B$20-MIN(파라미터!$B$15,파라미터!$B$5*(IF(H44&gt;=1,파라미터!$B$10,0)+IF(H44&gt;=2,파라미터!$B$11,0)+IF(H44&gt;=3,파라미터!$B$12,0))))-IF(MOD($A44-1,파라미터!$B$22)=0,파라미터!$B$21,0)</f>
        <v/>
      </c>
      <c r="J44" s="15">
        <f>MAX(0,J43+I44)</f>
        <v/>
      </c>
      <c r="K44" s="14">
        <f>IF(OR($A44&lt;파라미터!$B$6,MOD($A44,파라미터!$B$6)&gt;=5),0,INT((5-MOD($A44,파라미터!$B$6)-1)/파라미터!$B$6)+1)</f>
        <v/>
      </c>
      <c r="L44" s="15">
        <f>((K44*파라미터!$B$5-파라미터!$B$5*(IF(K44&gt;=1,파라미터!$B$10,0)+IF(K44&gt;=2,파라미터!$B$11,0)+IF(K44&gt;=3,파라미터!$B$12,0)))+MAX(0,파라미터!$B$5*(IF(K44&gt;=1,파라미터!$B$10,0)+IF(K44&gt;=2,파라미터!$B$11,0)+IF(K44&gt;=3,파라미터!$B$12,0))-파라미터!$B$15))*파라미터!$B$16-K44*파라미터!$B$7-MAX(0,파라미터!$B$19+파라미터!$B$20-MIN(파라미터!$B$15,파라미터!$B$5*(IF(K44&gt;=1,파라미터!$B$10,0)+IF(K44&gt;=2,파라미터!$B$11,0)+IF(K44&gt;=3,파라미터!$B$12,0))))-IF(MOD($A44-1,파라미터!$B$22)=0,파라미터!$B$21,0)</f>
        <v/>
      </c>
      <c r="M44" s="15">
        <f>MAX(0,M43+L44)</f>
        <v/>
      </c>
      <c r="N44" s="14">
        <f>IF(OR($A44&lt;파라미터!$B$6,MOD($A44,파라미터!$B$6)&gt;=10),0,INT((10-MOD($A44,파라미터!$B$6)-1)/파라미터!$B$6)+1)</f>
        <v/>
      </c>
      <c r="O44" s="15">
        <f>((N44*파라미터!$B$5-파라미터!$B$5*(IF(N44&gt;=1,파라미터!$B$10,0)+IF(N44&gt;=2,파라미터!$B$11,0)+IF(N44&gt;=3,파라미터!$B$12,0)))+MAX(0,파라미터!$B$5*(IF(N44&gt;=1,파라미터!$B$10,0)+IF(N44&gt;=2,파라미터!$B$11,0)+IF(N44&gt;=3,파라미터!$B$12,0))-파라미터!$B$15))*파라미터!$B$16-N44*파라미터!$B$7-MAX(0,파라미터!$B$19+파라미터!$B$20-MIN(파라미터!$B$15,파라미터!$B$5*(IF(N44&gt;=1,파라미터!$B$10,0)+IF(N44&gt;=2,파라미터!$B$11,0)+IF(N44&gt;=3,파라미터!$B$12,0))))-IF(MOD($A44-1,파라미터!$B$22)=0,파라미터!$B$21,0)</f>
        <v/>
      </c>
      <c r="P44" s="15">
        <f>MAX(0,P43+O44)</f>
        <v/>
      </c>
      <c r="Q44" s="14">
        <f>IF(OR($A44&lt;파라미터!$B$6,MOD($A44,파라미터!$B$6)&gt;=20),0,INT((20-MOD($A44,파라미터!$B$6)-1)/파라미터!$B$6)+1)</f>
        <v/>
      </c>
      <c r="R44" s="15">
        <f>((Q44*파라미터!$B$5-파라미터!$B$5*(IF(Q44&gt;=1,파라미터!$B$10,0)+IF(Q44&gt;=2,파라미터!$B$11,0)+IF(Q44&gt;=3,파라미터!$B$12,0)))+MAX(0,파라미터!$B$5*(IF(Q44&gt;=1,파라미터!$B$10,0)+IF(Q44&gt;=2,파라미터!$B$11,0)+IF(Q44&gt;=3,파라미터!$B$12,0))-파라미터!$B$15))*파라미터!$B$16-Q44*파라미터!$B$7-MAX(0,파라미터!$B$19+파라미터!$B$20-MIN(파라미터!$B$15,파라미터!$B$5*(IF(Q44&gt;=1,파라미터!$B$10,0)+IF(Q44&gt;=2,파라미터!$B$11,0)+IF(Q44&gt;=3,파라미터!$B$12,0))))-IF(MOD($A44-1,파라미터!$B$22)=0,파라미터!$B$21,0)</f>
        <v/>
      </c>
      <c r="S44" s="15">
        <f>MAX(0,S43+R44)</f>
        <v/>
      </c>
    </row>
    <row r="45">
      <c r="A45" s="13" t="n">
        <v>41</v>
      </c>
      <c r="B45" s="14">
        <f>IF(OR($A45&lt;파라미터!$B$6,MOD($A45,파라미터!$B$6)&gt;=1),0,INT((1-MOD($A45,파라미터!$B$6)-1)/파라미터!$B$6)+1)</f>
        <v/>
      </c>
      <c r="C45" s="15">
        <f>((B45*파라미터!$B$5-파라미터!$B$5*(IF(B45&gt;=1,파라미터!$B$10,0)+IF(B45&gt;=2,파라미터!$B$11,0)+IF(B45&gt;=3,파라미터!$B$12,0)))+MAX(0,파라미터!$B$5*(IF(B45&gt;=1,파라미터!$B$10,0)+IF(B45&gt;=2,파라미터!$B$11,0)+IF(B45&gt;=3,파라미터!$B$12,0))-파라미터!$B$15))*파라미터!$B$16-B45*파라미터!$B$7-MAX(0,파라미터!$B$19+파라미터!$B$20-MIN(파라미터!$B$15,파라미터!$B$5*(IF(B45&gt;=1,파라미터!$B$10,0)+IF(B45&gt;=2,파라미터!$B$11,0)+IF(B45&gt;=3,파라미터!$B$12,0))))-IF(MOD($A45-1,파라미터!$B$22)=0,파라미터!$B$21,0)</f>
        <v/>
      </c>
      <c r="D45" s="15">
        <f>MAX(0,D44+C45)</f>
        <v/>
      </c>
      <c r="E45" s="14">
        <f>IF(OR($A45&lt;파라미터!$B$6,MOD($A45,파라미터!$B$6)&gt;=2),0,INT((2-MOD($A45,파라미터!$B$6)-1)/파라미터!$B$6)+1)</f>
        <v/>
      </c>
      <c r="F45" s="15">
        <f>((E45*파라미터!$B$5-파라미터!$B$5*(IF(E45&gt;=1,파라미터!$B$10,0)+IF(E45&gt;=2,파라미터!$B$11,0)+IF(E45&gt;=3,파라미터!$B$12,0)))+MAX(0,파라미터!$B$5*(IF(E45&gt;=1,파라미터!$B$10,0)+IF(E45&gt;=2,파라미터!$B$11,0)+IF(E45&gt;=3,파라미터!$B$12,0))-파라미터!$B$15))*파라미터!$B$16-E45*파라미터!$B$7-MAX(0,파라미터!$B$19+파라미터!$B$20-MIN(파라미터!$B$15,파라미터!$B$5*(IF(E45&gt;=1,파라미터!$B$10,0)+IF(E45&gt;=2,파라미터!$B$11,0)+IF(E45&gt;=3,파라미터!$B$12,0))))-IF(MOD($A45-1,파라미터!$B$22)=0,파라미터!$B$21,0)</f>
        <v/>
      </c>
      <c r="G45" s="15">
        <f>MAX(0,G44+F45)</f>
        <v/>
      </c>
      <c r="H45" s="14">
        <f>IF(OR($A45&lt;파라미터!$B$6,MOD($A45,파라미터!$B$6)&gt;=3),0,INT((3-MOD($A45,파라미터!$B$6)-1)/파라미터!$B$6)+1)</f>
        <v/>
      </c>
      <c r="I45" s="15">
        <f>((H45*파라미터!$B$5-파라미터!$B$5*(IF(H45&gt;=1,파라미터!$B$10,0)+IF(H45&gt;=2,파라미터!$B$11,0)+IF(H45&gt;=3,파라미터!$B$12,0)))+MAX(0,파라미터!$B$5*(IF(H45&gt;=1,파라미터!$B$10,0)+IF(H45&gt;=2,파라미터!$B$11,0)+IF(H45&gt;=3,파라미터!$B$12,0))-파라미터!$B$15))*파라미터!$B$16-H45*파라미터!$B$7-MAX(0,파라미터!$B$19+파라미터!$B$20-MIN(파라미터!$B$15,파라미터!$B$5*(IF(H45&gt;=1,파라미터!$B$10,0)+IF(H45&gt;=2,파라미터!$B$11,0)+IF(H45&gt;=3,파라미터!$B$12,0))))-IF(MOD($A45-1,파라미터!$B$22)=0,파라미터!$B$21,0)</f>
        <v/>
      </c>
      <c r="J45" s="15">
        <f>MAX(0,J44+I45)</f>
        <v/>
      </c>
      <c r="K45" s="14">
        <f>IF(OR($A45&lt;파라미터!$B$6,MOD($A45,파라미터!$B$6)&gt;=5),0,INT((5-MOD($A45,파라미터!$B$6)-1)/파라미터!$B$6)+1)</f>
        <v/>
      </c>
      <c r="L45" s="15">
        <f>((K45*파라미터!$B$5-파라미터!$B$5*(IF(K45&gt;=1,파라미터!$B$10,0)+IF(K45&gt;=2,파라미터!$B$11,0)+IF(K45&gt;=3,파라미터!$B$12,0)))+MAX(0,파라미터!$B$5*(IF(K45&gt;=1,파라미터!$B$10,0)+IF(K45&gt;=2,파라미터!$B$11,0)+IF(K45&gt;=3,파라미터!$B$12,0))-파라미터!$B$15))*파라미터!$B$16-K45*파라미터!$B$7-MAX(0,파라미터!$B$19+파라미터!$B$20-MIN(파라미터!$B$15,파라미터!$B$5*(IF(K45&gt;=1,파라미터!$B$10,0)+IF(K45&gt;=2,파라미터!$B$11,0)+IF(K45&gt;=3,파라미터!$B$12,0))))-IF(MOD($A45-1,파라미터!$B$22)=0,파라미터!$B$21,0)</f>
        <v/>
      </c>
      <c r="M45" s="15">
        <f>MAX(0,M44+L45)</f>
        <v/>
      </c>
      <c r="N45" s="14">
        <f>IF(OR($A45&lt;파라미터!$B$6,MOD($A45,파라미터!$B$6)&gt;=10),0,INT((10-MOD($A45,파라미터!$B$6)-1)/파라미터!$B$6)+1)</f>
        <v/>
      </c>
      <c r="O45" s="15">
        <f>((N45*파라미터!$B$5-파라미터!$B$5*(IF(N45&gt;=1,파라미터!$B$10,0)+IF(N45&gt;=2,파라미터!$B$11,0)+IF(N45&gt;=3,파라미터!$B$12,0)))+MAX(0,파라미터!$B$5*(IF(N45&gt;=1,파라미터!$B$10,0)+IF(N45&gt;=2,파라미터!$B$11,0)+IF(N45&gt;=3,파라미터!$B$12,0))-파라미터!$B$15))*파라미터!$B$16-N45*파라미터!$B$7-MAX(0,파라미터!$B$19+파라미터!$B$20-MIN(파라미터!$B$15,파라미터!$B$5*(IF(N45&gt;=1,파라미터!$B$10,0)+IF(N45&gt;=2,파라미터!$B$11,0)+IF(N45&gt;=3,파라미터!$B$12,0))))-IF(MOD($A45-1,파라미터!$B$22)=0,파라미터!$B$21,0)</f>
        <v/>
      </c>
      <c r="P45" s="15">
        <f>MAX(0,P44+O45)</f>
        <v/>
      </c>
      <c r="Q45" s="14">
        <f>IF(OR($A45&lt;파라미터!$B$6,MOD($A45,파라미터!$B$6)&gt;=20),0,INT((20-MOD($A45,파라미터!$B$6)-1)/파라미터!$B$6)+1)</f>
        <v/>
      </c>
      <c r="R45" s="15">
        <f>((Q45*파라미터!$B$5-파라미터!$B$5*(IF(Q45&gt;=1,파라미터!$B$10,0)+IF(Q45&gt;=2,파라미터!$B$11,0)+IF(Q45&gt;=3,파라미터!$B$12,0)))+MAX(0,파라미터!$B$5*(IF(Q45&gt;=1,파라미터!$B$10,0)+IF(Q45&gt;=2,파라미터!$B$11,0)+IF(Q45&gt;=3,파라미터!$B$12,0))-파라미터!$B$15))*파라미터!$B$16-Q45*파라미터!$B$7-MAX(0,파라미터!$B$19+파라미터!$B$20-MIN(파라미터!$B$15,파라미터!$B$5*(IF(Q45&gt;=1,파라미터!$B$10,0)+IF(Q45&gt;=2,파라미터!$B$11,0)+IF(Q45&gt;=3,파라미터!$B$12,0))))-IF(MOD($A45-1,파라미터!$B$22)=0,파라미터!$B$21,0)</f>
        <v/>
      </c>
      <c r="S45" s="15">
        <f>MAX(0,S44+R45)</f>
        <v/>
      </c>
    </row>
    <row r="46">
      <c r="A46" s="13" t="n">
        <v>42</v>
      </c>
      <c r="B46" s="14">
        <f>IF(OR($A46&lt;파라미터!$B$6,MOD($A46,파라미터!$B$6)&gt;=1),0,INT((1-MOD($A46,파라미터!$B$6)-1)/파라미터!$B$6)+1)</f>
        <v/>
      </c>
      <c r="C46" s="15">
        <f>((B46*파라미터!$B$5-파라미터!$B$5*(IF(B46&gt;=1,파라미터!$B$10,0)+IF(B46&gt;=2,파라미터!$B$11,0)+IF(B46&gt;=3,파라미터!$B$12,0)))+MAX(0,파라미터!$B$5*(IF(B46&gt;=1,파라미터!$B$10,0)+IF(B46&gt;=2,파라미터!$B$11,0)+IF(B46&gt;=3,파라미터!$B$12,0))-파라미터!$B$15))*파라미터!$B$16-B46*파라미터!$B$7-MAX(0,파라미터!$B$19+파라미터!$B$20-MIN(파라미터!$B$15,파라미터!$B$5*(IF(B46&gt;=1,파라미터!$B$10,0)+IF(B46&gt;=2,파라미터!$B$11,0)+IF(B46&gt;=3,파라미터!$B$12,0))))-IF(MOD($A46-1,파라미터!$B$22)=0,파라미터!$B$21,0)</f>
        <v/>
      </c>
      <c r="D46" s="15">
        <f>MAX(0,D45+C46)</f>
        <v/>
      </c>
      <c r="E46" s="14">
        <f>IF(OR($A46&lt;파라미터!$B$6,MOD($A46,파라미터!$B$6)&gt;=2),0,INT((2-MOD($A46,파라미터!$B$6)-1)/파라미터!$B$6)+1)</f>
        <v/>
      </c>
      <c r="F46" s="15">
        <f>((E46*파라미터!$B$5-파라미터!$B$5*(IF(E46&gt;=1,파라미터!$B$10,0)+IF(E46&gt;=2,파라미터!$B$11,0)+IF(E46&gt;=3,파라미터!$B$12,0)))+MAX(0,파라미터!$B$5*(IF(E46&gt;=1,파라미터!$B$10,0)+IF(E46&gt;=2,파라미터!$B$11,0)+IF(E46&gt;=3,파라미터!$B$12,0))-파라미터!$B$15))*파라미터!$B$16-E46*파라미터!$B$7-MAX(0,파라미터!$B$19+파라미터!$B$20-MIN(파라미터!$B$15,파라미터!$B$5*(IF(E46&gt;=1,파라미터!$B$10,0)+IF(E46&gt;=2,파라미터!$B$11,0)+IF(E46&gt;=3,파라미터!$B$12,0))))-IF(MOD($A46-1,파라미터!$B$22)=0,파라미터!$B$21,0)</f>
        <v/>
      </c>
      <c r="G46" s="15">
        <f>MAX(0,G45+F46)</f>
        <v/>
      </c>
      <c r="H46" s="14">
        <f>IF(OR($A46&lt;파라미터!$B$6,MOD($A46,파라미터!$B$6)&gt;=3),0,INT((3-MOD($A46,파라미터!$B$6)-1)/파라미터!$B$6)+1)</f>
        <v/>
      </c>
      <c r="I46" s="15">
        <f>((H46*파라미터!$B$5-파라미터!$B$5*(IF(H46&gt;=1,파라미터!$B$10,0)+IF(H46&gt;=2,파라미터!$B$11,0)+IF(H46&gt;=3,파라미터!$B$12,0)))+MAX(0,파라미터!$B$5*(IF(H46&gt;=1,파라미터!$B$10,0)+IF(H46&gt;=2,파라미터!$B$11,0)+IF(H46&gt;=3,파라미터!$B$12,0))-파라미터!$B$15))*파라미터!$B$16-H46*파라미터!$B$7-MAX(0,파라미터!$B$19+파라미터!$B$20-MIN(파라미터!$B$15,파라미터!$B$5*(IF(H46&gt;=1,파라미터!$B$10,0)+IF(H46&gt;=2,파라미터!$B$11,0)+IF(H46&gt;=3,파라미터!$B$12,0))))-IF(MOD($A46-1,파라미터!$B$22)=0,파라미터!$B$21,0)</f>
        <v/>
      </c>
      <c r="J46" s="15">
        <f>MAX(0,J45+I46)</f>
        <v/>
      </c>
      <c r="K46" s="14">
        <f>IF(OR($A46&lt;파라미터!$B$6,MOD($A46,파라미터!$B$6)&gt;=5),0,INT((5-MOD($A46,파라미터!$B$6)-1)/파라미터!$B$6)+1)</f>
        <v/>
      </c>
      <c r="L46" s="15">
        <f>((K46*파라미터!$B$5-파라미터!$B$5*(IF(K46&gt;=1,파라미터!$B$10,0)+IF(K46&gt;=2,파라미터!$B$11,0)+IF(K46&gt;=3,파라미터!$B$12,0)))+MAX(0,파라미터!$B$5*(IF(K46&gt;=1,파라미터!$B$10,0)+IF(K46&gt;=2,파라미터!$B$11,0)+IF(K46&gt;=3,파라미터!$B$12,0))-파라미터!$B$15))*파라미터!$B$16-K46*파라미터!$B$7-MAX(0,파라미터!$B$19+파라미터!$B$20-MIN(파라미터!$B$15,파라미터!$B$5*(IF(K46&gt;=1,파라미터!$B$10,0)+IF(K46&gt;=2,파라미터!$B$11,0)+IF(K46&gt;=3,파라미터!$B$12,0))))-IF(MOD($A46-1,파라미터!$B$22)=0,파라미터!$B$21,0)</f>
        <v/>
      </c>
      <c r="M46" s="15">
        <f>MAX(0,M45+L46)</f>
        <v/>
      </c>
      <c r="N46" s="14">
        <f>IF(OR($A46&lt;파라미터!$B$6,MOD($A46,파라미터!$B$6)&gt;=10),0,INT((10-MOD($A46,파라미터!$B$6)-1)/파라미터!$B$6)+1)</f>
        <v/>
      </c>
      <c r="O46" s="15">
        <f>((N46*파라미터!$B$5-파라미터!$B$5*(IF(N46&gt;=1,파라미터!$B$10,0)+IF(N46&gt;=2,파라미터!$B$11,0)+IF(N46&gt;=3,파라미터!$B$12,0)))+MAX(0,파라미터!$B$5*(IF(N46&gt;=1,파라미터!$B$10,0)+IF(N46&gt;=2,파라미터!$B$11,0)+IF(N46&gt;=3,파라미터!$B$12,0))-파라미터!$B$15))*파라미터!$B$16-N46*파라미터!$B$7-MAX(0,파라미터!$B$19+파라미터!$B$20-MIN(파라미터!$B$15,파라미터!$B$5*(IF(N46&gt;=1,파라미터!$B$10,0)+IF(N46&gt;=2,파라미터!$B$11,0)+IF(N46&gt;=3,파라미터!$B$12,0))))-IF(MOD($A46-1,파라미터!$B$22)=0,파라미터!$B$21,0)</f>
        <v/>
      </c>
      <c r="P46" s="15">
        <f>MAX(0,P45+O46)</f>
        <v/>
      </c>
      <c r="Q46" s="14">
        <f>IF(OR($A46&lt;파라미터!$B$6,MOD($A46,파라미터!$B$6)&gt;=20),0,INT((20-MOD($A46,파라미터!$B$6)-1)/파라미터!$B$6)+1)</f>
        <v/>
      </c>
      <c r="R46" s="15">
        <f>((Q46*파라미터!$B$5-파라미터!$B$5*(IF(Q46&gt;=1,파라미터!$B$10,0)+IF(Q46&gt;=2,파라미터!$B$11,0)+IF(Q46&gt;=3,파라미터!$B$12,0)))+MAX(0,파라미터!$B$5*(IF(Q46&gt;=1,파라미터!$B$10,0)+IF(Q46&gt;=2,파라미터!$B$11,0)+IF(Q46&gt;=3,파라미터!$B$12,0))-파라미터!$B$15))*파라미터!$B$16-Q46*파라미터!$B$7-MAX(0,파라미터!$B$19+파라미터!$B$20-MIN(파라미터!$B$15,파라미터!$B$5*(IF(Q46&gt;=1,파라미터!$B$10,0)+IF(Q46&gt;=2,파라미터!$B$11,0)+IF(Q46&gt;=3,파라미터!$B$12,0))))-IF(MOD($A46-1,파라미터!$B$22)=0,파라미터!$B$21,0)</f>
        <v/>
      </c>
      <c r="S46" s="15">
        <f>MAX(0,S45+R46)</f>
        <v/>
      </c>
    </row>
    <row r="47">
      <c r="A47" s="13" t="n">
        <v>43</v>
      </c>
      <c r="B47" s="14">
        <f>IF(OR($A47&lt;파라미터!$B$6,MOD($A47,파라미터!$B$6)&gt;=1),0,INT((1-MOD($A47,파라미터!$B$6)-1)/파라미터!$B$6)+1)</f>
        <v/>
      </c>
      <c r="C47" s="15">
        <f>((B47*파라미터!$B$5-파라미터!$B$5*(IF(B47&gt;=1,파라미터!$B$10,0)+IF(B47&gt;=2,파라미터!$B$11,0)+IF(B47&gt;=3,파라미터!$B$12,0)))+MAX(0,파라미터!$B$5*(IF(B47&gt;=1,파라미터!$B$10,0)+IF(B47&gt;=2,파라미터!$B$11,0)+IF(B47&gt;=3,파라미터!$B$12,0))-파라미터!$B$15))*파라미터!$B$16-B47*파라미터!$B$7-MAX(0,파라미터!$B$19+파라미터!$B$20-MIN(파라미터!$B$15,파라미터!$B$5*(IF(B47&gt;=1,파라미터!$B$10,0)+IF(B47&gt;=2,파라미터!$B$11,0)+IF(B47&gt;=3,파라미터!$B$12,0))))-IF(MOD($A47-1,파라미터!$B$22)=0,파라미터!$B$21,0)</f>
        <v/>
      </c>
      <c r="D47" s="15">
        <f>MAX(0,D46+C47)</f>
        <v/>
      </c>
      <c r="E47" s="14">
        <f>IF(OR($A47&lt;파라미터!$B$6,MOD($A47,파라미터!$B$6)&gt;=2),0,INT((2-MOD($A47,파라미터!$B$6)-1)/파라미터!$B$6)+1)</f>
        <v/>
      </c>
      <c r="F47" s="15">
        <f>((E47*파라미터!$B$5-파라미터!$B$5*(IF(E47&gt;=1,파라미터!$B$10,0)+IF(E47&gt;=2,파라미터!$B$11,0)+IF(E47&gt;=3,파라미터!$B$12,0)))+MAX(0,파라미터!$B$5*(IF(E47&gt;=1,파라미터!$B$10,0)+IF(E47&gt;=2,파라미터!$B$11,0)+IF(E47&gt;=3,파라미터!$B$12,0))-파라미터!$B$15))*파라미터!$B$16-E47*파라미터!$B$7-MAX(0,파라미터!$B$19+파라미터!$B$20-MIN(파라미터!$B$15,파라미터!$B$5*(IF(E47&gt;=1,파라미터!$B$10,0)+IF(E47&gt;=2,파라미터!$B$11,0)+IF(E47&gt;=3,파라미터!$B$12,0))))-IF(MOD($A47-1,파라미터!$B$22)=0,파라미터!$B$21,0)</f>
        <v/>
      </c>
      <c r="G47" s="15">
        <f>MAX(0,G46+F47)</f>
        <v/>
      </c>
      <c r="H47" s="14">
        <f>IF(OR($A47&lt;파라미터!$B$6,MOD($A47,파라미터!$B$6)&gt;=3),0,INT((3-MOD($A47,파라미터!$B$6)-1)/파라미터!$B$6)+1)</f>
        <v/>
      </c>
      <c r="I47" s="15">
        <f>((H47*파라미터!$B$5-파라미터!$B$5*(IF(H47&gt;=1,파라미터!$B$10,0)+IF(H47&gt;=2,파라미터!$B$11,0)+IF(H47&gt;=3,파라미터!$B$12,0)))+MAX(0,파라미터!$B$5*(IF(H47&gt;=1,파라미터!$B$10,0)+IF(H47&gt;=2,파라미터!$B$11,0)+IF(H47&gt;=3,파라미터!$B$12,0))-파라미터!$B$15))*파라미터!$B$16-H47*파라미터!$B$7-MAX(0,파라미터!$B$19+파라미터!$B$20-MIN(파라미터!$B$15,파라미터!$B$5*(IF(H47&gt;=1,파라미터!$B$10,0)+IF(H47&gt;=2,파라미터!$B$11,0)+IF(H47&gt;=3,파라미터!$B$12,0))))-IF(MOD($A47-1,파라미터!$B$22)=0,파라미터!$B$21,0)</f>
        <v/>
      </c>
      <c r="J47" s="15">
        <f>MAX(0,J46+I47)</f>
        <v/>
      </c>
      <c r="K47" s="14">
        <f>IF(OR($A47&lt;파라미터!$B$6,MOD($A47,파라미터!$B$6)&gt;=5),0,INT((5-MOD($A47,파라미터!$B$6)-1)/파라미터!$B$6)+1)</f>
        <v/>
      </c>
      <c r="L47" s="15">
        <f>((K47*파라미터!$B$5-파라미터!$B$5*(IF(K47&gt;=1,파라미터!$B$10,0)+IF(K47&gt;=2,파라미터!$B$11,0)+IF(K47&gt;=3,파라미터!$B$12,0)))+MAX(0,파라미터!$B$5*(IF(K47&gt;=1,파라미터!$B$10,0)+IF(K47&gt;=2,파라미터!$B$11,0)+IF(K47&gt;=3,파라미터!$B$12,0))-파라미터!$B$15))*파라미터!$B$16-K47*파라미터!$B$7-MAX(0,파라미터!$B$19+파라미터!$B$20-MIN(파라미터!$B$15,파라미터!$B$5*(IF(K47&gt;=1,파라미터!$B$10,0)+IF(K47&gt;=2,파라미터!$B$11,0)+IF(K47&gt;=3,파라미터!$B$12,0))))-IF(MOD($A47-1,파라미터!$B$22)=0,파라미터!$B$21,0)</f>
        <v/>
      </c>
      <c r="M47" s="15">
        <f>MAX(0,M46+L47)</f>
        <v/>
      </c>
      <c r="N47" s="14">
        <f>IF(OR($A47&lt;파라미터!$B$6,MOD($A47,파라미터!$B$6)&gt;=10),0,INT((10-MOD($A47,파라미터!$B$6)-1)/파라미터!$B$6)+1)</f>
        <v/>
      </c>
      <c r="O47" s="15">
        <f>((N47*파라미터!$B$5-파라미터!$B$5*(IF(N47&gt;=1,파라미터!$B$10,0)+IF(N47&gt;=2,파라미터!$B$11,0)+IF(N47&gt;=3,파라미터!$B$12,0)))+MAX(0,파라미터!$B$5*(IF(N47&gt;=1,파라미터!$B$10,0)+IF(N47&gt;=2,파라미터!$B$11,0)+IF(N47&gt;=3,파라미터!$B$12,0))-파라미터!$B$15))*파라미터!$B$16-N47*파라미터!$B$7-MAX(0,파라미터!$B$19+파라미터!$B$20-MIN(파라미터!$B$15,파라미터!$B$5*(IF(N47&gt;=1,파라미터!$B$10,0)+IF(N47&gt;=2,파라미터!$B$11,0)+IF(N47&gt;=3,파라미터!$B$12,0))))-IF(MOD($A47-1,파라미터!$B$22)=0,파라미터!$B$21,0)</f>
        <v/>
      </c>
      <c r="P47" s="15">
        <f>MAX(0,P46+O47)</f>
        <v/>
      </c>
      <c r="Q47" s="14">
        <f>IF(OR($A47&lt;파라미터!$B$6,MOD($A47,파라미터!$B$6)&gt;=20),0,INT((20-MOD($A47,파라미터!$B$6)-1)/파라미터!$B$6)+1)</f>
        <v/>
      </c>
      <c r="R47" s="15">
        <f>((Q47*파라미터!$B$5-파라미터!$B$5*(IF(Q47&gt;=1,파라미터!$B$10,0)+IF(Q47&gt;=2,파라미터!$B$11,0)+IF(Q47&gt;=3,파라미터!$B$12,0)))+MAX(0,파라미터!$B$5*(IF(Q47&gt;=1,파라미터!$B$10,0)+IF(Q47&gt;=2,파라미터!$B$11,0)+IF(Q47&gt;=3,파라미터!$B$12,0))-파라미터!$B$15))*파라미터!$B$16-Q47*파라미터!$B$7-MAX(0,파라미터!$B$19+파라미터!$B$20-MIN(파라미터!$B$15,파라미터!$B$5*(IF(Q47&gt;=1,파라미터!$B$10,0)+IF(Q47&gt;=2,파라미터!$B$11,0)+IF(Q47&gt;=3,파라미터!$B$12,0))))-IF(MOD($A47-1,파라미터!$B$22)=0,파라미터!$B$21,0)</f>
        <v/>
      </c>
      <c r="S47" s="15">
        <f>MAX(0,S46+R47)</f>
        <v/>
      </c>
    </row>
    <row r="48">
      <c r="A48" s="13" t="n">
        <v>44</v>
      </c>
      <c r="B48" s="14">
        <f>IF(OR($A48&lt;파라미터!$B$6,MOD($A48,파라미터!$B$6)&gt;=1),0,INT((1-MOD($A48,파라미터!$B$6)-1)/파라미터!$B$6)+1)</f>
        <v/>
      </c>
      <c r="C48" s="15">
        <f>((B48*파라미터!$B$5-파라미터!$B$5*(IF(B48&gt;=1,파라미터!$B$10,0)+IF(B48&gt;=2,파라미터!$B$11,0)+IF(B48&gt;=3,파라미터!$B$12,0)))+MAX(0,파라미터!$B$5*(IF(B48&gt;=1,파라미터!$B$10,0)+IF(B48&gt;=2,파라미터!$B$11,0)+IF(B48&gt;=3,파라미터!$B$12,0))-파라미터!$B$15))*파라미터!$B$16-B48*파라미터!$B$7-MAX(0,파라미터!$B$19+파라미터!$B$20-MIN(파라미터!$B$15,파라미터!$B$5*(IF(B48&gt;=1,파라미터!$B$10,0)+IF(B48&gt;=2,파라미터!$B$11,0)+IF(B48&gt;=3,파라미터!$B$12,0))))-IF(MOD($A48-1,파라미터!$B$22)=0,파라미터!$B$21,0)</f>
        <v/>
      </c>
      <c r="D48" s="15">
        <f>MAX(0,D47+C48)</f>
        <v/>
      </c>
      <c r="E48" s="14">
        <f>IF(OR($A48&lt;파라미터!$B$6,MOD($A48,파라미터!$B$6)&gt;=2),0,INT((2-MOD($A48,파라미터!$B$6)-1)/파라미터!$B$6)+1)</f>
        <v/>
      </c>
      <c r="F48" s="15">
        <f>((E48*파라미터!$B$5-파라미터!$B$5*(IF(E48&gt;=1,파라미터!$B$10,0)+IF(E48&gt;=2,파라미터!$B$11,0)+IF(E48&gt;=3,파라미터!$B$12,0)))+MAX(0,파라미터!$B$5*(IF(E48&gt;=1,파라미터!$B$10,0)+IF(E48&gt;=2,파라미터!$B$11,0)+IF(E48&gt;=3,파라미터!$B$12,0))-파라미터!$B$15))*파라미터!$B$16-E48*파라미터!$B$7-MAX(0,파라미터!$B$19+파라미터!$B$20-MIN(파라미터!$B$15,파라미터!$B$5*(IF(E48&gt;=1,파라미터!$B$10,0)+IF(E48&gt;=2,파라미터!$B$11,0)+IF(E48&gt;=3,파라미터!$B$12,0))))-IF(MOD($A48-1,파라미터!$B$22)=0,파라미터!$B$21,0)</f>
        <v/>
      </c>
      <c r="G48" s="15">
        <f>MAX(0,G47+F48)</f>
        <v/>
      </c>
      <c r="H48" s="14">
        <f>IF(OR($A48&lt;파라미터!$B$6,MOD($A48,파라미터!$B$6)&gt;=3),0,INT((3-MOD($A48,파라미터!$B$6)-1)/파라미터!$B$6)+1)</f>
        <v/>
      </c>
      <c r="I48" s="15">
        <f>((H48*파라미터!$B$5-파라미터!$B$5*(IF(H48&gt;=1,파라미터!$B$10,0)+IF(H48&gt;=2,파라미터!$B$11,0)+IF(H48&gt;=3,파라미터!$B$12,0)))+MAX(0,파라미터!$B$5*(IF(H48&gt;=1,파라미터!$B$10,0)+IF(H48&gt;=2,파라미터!$B$11,0)+IF(H48&gt;=3,파라미터!$B$12,0))-파라미터!$B$15))*파라미터!$B$16-H48*파라미터!$B$7-MAX(0,파라미터!$B$19+파라미터!$B$20-MIN(파라미터!$B$15,파라미터!$B$5*(IF(H48&gt;=1,파라미터!$B$10,0)+IF(H48&gt;=2,파라미터!$B$11,0)+IF(H48&gt;=3,파라미터!$B$12,0))))-IF(MOD($A48-1,파라미터!$B$22)=0,파라미터!$B$21,0)</f>
        <v/>
      </c>
      <c r="J48" s="15">
        <f>MAX(0,J47+I48)</f>
        <v/>
      </c>
      <c r="K48" s="14">
        <f>IF(OR($A48&lt;파라미터!$B$6,MOD($A48,파라미터!$B$6)&gt;=5),0,INT((5-MOD($A48,파라미터!$B$6)-1)/파라미터!$B$6)+1)</f>
        <v/>
      </c>
      <c r="L48" s="15">
        <f>((K48*파라미터!$B$5-파라미터!$B$5*(IF(K48&gt;=1,파라미터!$B$10,0)+IF(K48&gt;=2,파라미터!$B$11,0)+IF(K48&gt;=3,파라미터!$B$12,0)))+MAX(0,파라미터!$B$5*(IF(K48&gt;=1,파라미터!$B$10,0)+IF(K48&gt;=2,파라미터!$B$11,0)+IF(K48&gt;=3,파라미터!$B$12,0))-파라미터!$B$15))*파라미터!$B$16-K48*파라미터!$B$7-MAX(0,파라미터!$B$19+파라미터!$B$20-MIN(파라미터!$B$15,파라미터!$B$5*(IF(K48&gt;=1,파라미터!$B$10,0)+IF(K48&gt;=2,파라미터!$B$11,0)+IF(K48&gt;=3,파라미터!$B$12,0))))-IF(MOD($A48-1,파라미터!$B$22)=0,파라미터!$B$21,0)</f>
        <v/>
      </c>
      <c r="M48" s="15">
        <f>MAX(0,M47+L48)</f>
        <v/>
      </c>
      <c r="N48" s="14">
        <f>IF(OR($A48&lt;파라미터!$B$6,MOD($A48,파라미터!$B$6)&gt;=10),0,INT((10-MOD($A48,파라미터!$B$6)-1)/파라미터!$B$6)+1)</f>
        <v/>
      </c>
      <c r="O48" s="15">
        <f>((N48*파라미터!$B$5-파라미터!$B$5*(IF(N48&gt;=1,파라미터!$B$10,0)+IF(N48&gt;=2,파라미터!$B$11,0)+IF(N48&gt;=3,파라미터!$B$12,0)))+MAX(0,파라미터!$B$5*(IF(N48&gt;=1,파라미터!$B$10,0)+IF(N48&gt;=2,파라미터!$B$11,0)+IF(N48&gt;=3,파라미터!$B$12,0))-파라미터!$B$15))*파라미터!$B$16-N48*파라미터!$B$7-MAX(0,파라미터!$B$19+파라미터!$B$20-MIN(파라미터!$B$15,파라미터!$B$5*(IF(N48&gt;=1,파라미터!$B$10,0)+IF(N48&gt;=2,파라미터!$B$11,0)+IF(N48&gt;=3,파라미터!$B$12,0))))-IF(MOD($A48-1,파라미터!$B$22)=0,파라미터!$B$21,0)</f>
        <v/>
      </c>
      <c r="P48" s="15">
        <f>MAX(0,P47+O48)</f>
        <v/>
      </c>
      <c r="Q48" s="14">
        <f>IF(OR($A48&lt;파라미터!$B$6,MOD($A48,파라미터!$B$6)&gt;=20),0,INT((20-MOD($A48,파라미터!$B$6)-1)/파라미터!$B$6)+1)</f>
        <v/>
      </c>
      <c r="R48" s="15">
        <f>((Q48*파라미터!$B$5-파라미터!$B$5*(IF(Q48&gt;=1,파라미터!$B$10,0)+IF(Q48&gt;=2,파라미터!$B$11,0)+IF(Q48&gt;=3,파라미터!$B$12,0)))+MAX(0,파라미터!$B$5*(IF(Q48&gt;=1,파라미터!$B$10,0)+IF(Q48&gt;=2,파라미터!$B$11,0)+IF(Q48&gt;=3,파라미터!$B$12,0))-파라미터!$B$15))*파라미터!$B$16-Q48*파라미터!$B$7-MAX(0,파라미터!$B$19+파라미터!$B$20-MIN(파라미터!$B$15,파라미터!$B$5*(IF(Q48&gt;=1,파라미터!$B$10,0)+IF(Q48&gt;=2,파라미터!$B$11,0)+IF(Q48&gt;=3,파라미터!$B$12,0))))-IF(MOD($A48-1,파라미터!$B$22)=0,파라미터!$B$21,0)</f>
        <v/>
      </c>
      <c r="S48" s="15">
        <f>MAX(0,S47+R48)</f>
        <v/>
      </c>
    </row>
    <row r="49">
      <c r="A49" s="13" t="n">
        <v>45</v>
      </c>
      <c r="B49" s="14">
        <f>IF(OR($A49&lt;파라미터!$B$6,MOD($A49,파라미터!$B$6)&gt;=1),0,INT((1-MOD($A49,파라미터!$B$6)-1)/파라미터!$B$6)+1)</f>
        <v/>
      </c>
      <c r="C49" s="15">
        <f>((B49*파라미터!$B$5-파라미터!$B$5*(IF(B49&gt;=1,파라미터!$B$10,0)+IF(B49&gt;=2,파라미터!$B$11,0)+IF(B49&gt;=3,파라미터!$B$12,0)))+MAX(0,파라미터!$B$5*(IF(B49&gt;=1,파라미터!$B$10,0)+IF(B49&gt;=2,파라미터!$B$11,0)+IF(B49&gt;=3,파라미터!$B$12,0))-파라미터!$B$15))*파라미터!$B$16-B49*파라미터!$B$7-MAX(0,파라미터!$B$19+파라미터!$B$20-MIN(파라미터!$B$15,파라미터!$B$5*(IF(B49&gt;=1,파라미터!$B$10,0)+IF(B49&gt;=2,파라미터!$B$11,0)+IF(B49&gt;=3,파라미터!$B$12,0))))-IF(MOD($A49-1,파라미터!$B$22)=0,파라미터!$B$21,0)</f>
        <v/>
      </c>
      <c r="D49" s="15">
        <f>MAX(0,D48+C49)</f>
        <v/>
      </c>
      <c r="E49" s="14">
        <f>IF(OR($A49&lt;파라미터!$B$6,MOD($A49,파라미터!$B$6)&gt;=2),0,INT((2-MOD($A49,파라미터!$B$6)-1)/파라미터!$B$6)+1)</f>
        <v/>
      </c>
      <c r="F49" s="15">
        <f>((E49*파라미터!$B$5-파라미터!$B$5*(IF(E49&gt;=1,파라미터!$B$10,0)+IF(E49&gt;=2,파라미터!$B$11,0)+IF(E49&gt;=3,파라미터!$B$12,0)))+MAX(0,파라미터!$B$5*(IF(E49&gt;=1,파라미터!$B$10,0)+IF(E49&gt;=2,파라미터!$B$11,0)+IF(E49&gt;=3,파라미터!$B$12,0))-파라미터!$B$15))*파라미터!$B$16-E49*파라미터!$B$7-MAX(0,파라미터!$B$19+파라미터!$B$20-MIN(파라미터!$B$15,파라미터!$B$5*(IF(E49&gt;=1,파라미터!$B$10,0)+IF(E49&gt;=2,파라미터!$B$11,0)+IF(E49&gt;=3,파라미터!$B$12,0))))-IF(MOD($A49-1,파라미터!$B$22)=0,파라미터!$B$21,0)</f>
        <v/>
      </c>
      <c r="G49" s="15">
        <f>MAX(0,G48+F49)</f>
        <v/>
      </c>
      <c r="H49" s="14">
        <f>IF(OR($A49&lt;파라미터!$B$6,MOD($A49,파라미터!$B$6)&gt;=3),0,INT((3-MOD($A49,파라미터!$B$6)-1)/파라미터!$B$6)+1)</f>
        <v/>
      </c>
      <c r="I49" s="15">
        <f>((H49*파라미터!$B$5-파라미터!$B$5*(IF(H49&gt;=1,파라미터!$B$10,0)+IF(H49&gt;=2,파라미터!$B$11,0)+IF(H49&gt;=3,파라미터!$B$12,0)))+MAX(0,파라미터!$B$5*(IF(H49&gt;=1,파라미터!$B$10,0)+IF(H49&gt;=2,파라미터!$B$11,0)+IF(H49&gt;=3,파라미터!$B$12,0))-파라미터!$B$15))*파라미터!$B$16-H49*파라미터!$B$7-MAX(0,파라미터!$B$19+파라미터!$B$20-MIN(파라미터!$B$15,파라미터!$B$5*(IF(H49&gt;=1,파라미터!$B$10,0)+IF(H49&gt;=2,파라미터!$B$11,0)+IF(H49&gt;=3,파라미터!$B$12,0))))-IF(MOD($A49-1,파라미터!$B$22)=0,파라미터!$B$21,0)</f>
        <v/>
      </c>
      <c r="J49" s="15">
        <f>MAX(0,J48+I49)</f>
        <v/>
      </c>
      <c r="K49" s="14">
        <f>IF(OR($A49&lt;파라미터!$B$6,MOD($A49,파라미터!$B$6)&gt;=5),0,INT((5-MOD($A49,파라미터!$B$6)-1)/파라미터!$B$6)+1)</f>
        <v/>
      </c>
      <c r="L49" s="15">
        <f>((K49*파라미터!$B$5-파라미터!$B$5*(IF(K49&gt;=1,파라미터!$B$10,0)+IF(K49&gt;=2,파라미터!$B$11,0)+IF(K49&gt;=3,파라미터!$B$12,0)))+MAX(0,파라미터!$B$5*(IF(K49&gt;=1,파라미터!$B$10,0)+IF(K49&gt;=2,파라미터!$B$11,0)+IF(K49&gt;=3,파라미터!$B$12,0))-파라미터!$B$15))*파라미터!$B$16-K49*파라미터!$B$7-MAX(0,파라미터!$B$19+파라미터!$B$20-MIN(파라미터!$B$15,파라미터!$B$5*(IF(K49&gt;=1,파라미터!$B$10,0)+IF(K49&gt;=2,파라미터!$B$11,0)+IF(K49&gt;=3,파라미터!$B$12,0))))-IF(MOD($A49-1,파라미터!$B$22)=0,파라미터!$B$21,0)</f>
        <v/>
      </c>
      <c r="M49" s="15">
        <f>MAX(0,M48+L49)</f>
        <v/>
      </c>
      <c r="N49" s="14">
        <f>IF(OR($A49&lt;파라미터!$B$6,MOD($A49,파라미터!$B$6)&gt;=10),0,INT((10-MOD($A49,파라미터!$B$6)-1)/파라미터!$B$6)+1)</f>
        <v/>
      </c>
      <c r="O49" s="15">
        <f>((N49*파라미터!$B$5-파라미터!$B$5*(IF(N49&gt;=1,파라미터!$B$10,0)+IF(N49&gt;=2,파라미터!$B$11,0)+IF(N49&gt;=3,파라미터!$B$12,0)))+MAX(0,파라미터!$B$5*(IF(N49&gt;=1,파라미터!$B$10,0)+IF(N49&gt;=2,파라미터!$B$11,0)+IF(N49&gt;=3,파라미터!$B$12,0))-파라미터!$B$15))*파라미터!$B$16-N49*파라미터!$B$7-MAX(0,파라미터!$B$19+파라미터!$B$20-MIN(파라미터!$B$15,파라미터!$B$5*(IF(N49&gt;=1,파라미터!$B$10,0)+IF(N49&gt;=2,파라미터!$B$11,0)+IF(N49&gt;=3,파라미터!$B$12,0))))-IF(MOD($A49-1,파라미터!$B$22)=0,파라미터!$B$21,0)</f>
        <v/>
      </c>
      <c r="P49" s="15">
        <f>MAX(0,P48+O49)</f>
        <v/>
      </c>
      <c r="Q49" s="14">
        <f>IF(OR($A49&lt;파라미터!$B$6,MOD($A49,파라미터!$B$6)&gt;=20),0,INT((20-MOD($A49,파라미터!$B$6)-1)/파라미터!$B$6)+1)</f>
        <v/>
      </c>
      <c r="R49" s="15">
        <f>((Q49*파라미터!$B$5-파라미터!$B$5*(IF(Q49&gt;=1,파라미터!$B$10,0)+IF(Q49&gt;=2,파라미터!$B$11,0)+IF(Q49&gt;=3,파라미터!$B$12,0)))+MAX(0,파라미터!$B$5*(IF(Q49&gt;=1,파라미터!$B$10,0)+IF(Q49&gt;=2,파라미터!$B$11,0)+IF(Q49&gt;=3,파라미터!$B$12,0))-파라미터!$B$15))*파라미터!$B$16-Q49*파라미터!$B$7-MAX(0,파라미터!$B$19+파라미터!$B$20-MIN(파라미터!$B$15,파라미터!$B$5*(IF(Q49&gt;=1,파라미터!$B$10,0)+IF(Q49&gt;=2,파라미터!$B$11,0)+IF(Q49&gt;=3,파라미터!$B$12,0))))-IF(MOD($A49-1,파라미터!$B$22)=0,파라미터!$B$21,0)</f>
        <v/>
      </c>
      <c r="S49" s="15">
        <f>MAX(0,S48+R49)</f>
        <v/>
      </c>
    </row>
    <row r="50">
      <c r="A50" s="13" t="n">
        <v>46</v>
      </c>
      <c r="B50" s="14">
        <f>IF(OR($A50&lt;파라미터!$B$6,MOD($A50,파라미터!$B$6)&gt;=1),0,INT((1-MOD($A50,파라미터!$B$6)-1)/파라미터!$B$6)+1)</f>
        <v/>
      </c>
      <c r="C50" s="15">
        <f>((B50*파라미터!$B$5-파라미터!$B$5*(IF(B50&gt;=1,파라미터!$B$10,0)+IF(B50&gt;=2,파라미터!$B$11,0)+IF(B50&gt;=3,파라미터!$B$12,0)))+MAX(0,파라미터!$B$5*(IF(B50&gt;=1,파라미터!$B$10,0)+IF(B50&gt;=2,파라미터!$B$11,0)+IF(B50&gt;=3,파라미터!$B$12,0))-파라미터!$B$15))*파라미터!$B$16-B50*파라미터!$B$7-MAX(0,파라미터!$B$19+파라미터!$B$20-MIN(파라미터!$B$15,파라미터!$B$5*(IF(B50&gt;=1,파라미터!$B$10,0)+IF(B50&gt;=2,파라미터!$B$11,0)+IF(B50&gt;=3,파라미터!$B$12,0))))-IF(MOD($A50-1,파라미터!$B$22)=0,파라미터!$B$21,0)</f>
        <v/>
      </c>
      <c r="D50" s="15">
        <f>MAX(0,D49+C50)</f>
        <v/>
      </c>
      <c r="E50" s="14">
        <f>IF(OR($A50&lt;파라미터!$B$6,MOD($A50,파라미터!$B$6)&gt;=2),0,INT((2-MOD($A50,파라미터!$B$6)-1)/파라미터!$B$6)+1)</f>
        <v/>
      </c>
      <c r="F50" s="15">
        <f>((E50*파라미터!$B$5-파라미터!$B$5*(IF(E50&gt;=1,파라미터!$B$10,0)+IF(E50&gt;=2,파라미터!$B$11,0)+IF(E50&gt;=3,파라미터!$B$12,0)))+MAX(0,파라미터!$B$5*(IF(E50&gt;=1,파라미터!$B$10,0)+IF(E50&gt;=2,파라미터!$B$11,0)+IF(E50&gt;=3,파라미터!$B$12,0))-파라미터!$B$15))*파라미터!$B$16-E50*파라미터!$B$7-MAX(0,파라미터!$B$19+파라미터!$B$20-MIN(파라미터!$B$15,파라미터!$B$5*(IF(E50&gt;=1,파라미터!$B$10,0)+IF(E50&gt;=2,파라미터!$B$11,0)+IF(E50&gt;=3,파라미터!$B$12,0))))-IF(MOD($A50-1,파라미터!$B$22)=0,파라미터!$B$21,0)</f>
        <v/>
      </c>
      <c r="G50" s="15">
        <f>MAX(0,G49+F50)</f>
        <v/>
      </c>
      <c r="H50" s="14">
        <f>IF(OR($A50&lt;파라미터!$B$6,MOD($A50,파라미터!$B$6)&gt;=3),0,INT((3-MOD($A50,파라미터!$B$6)-1)/파라미터!$B$6)+1)</f>
        <v/>
      </c>
      <c r="I50" s="15">
        <f>((H50*파라미터!$B$5-파라미터!$B$5*(IF(H50&gt;=1,파라미터!$B$10,0)+IF(H50&gt;=2,파라미터!$B$11,0)+IF(H50&gt;=3,파라미터!$B$12,0)))+MAX(0,파라미터!$B$5*(IF(H50&gt;=1,파라미터!$B$10,0)+IF(H50&gt;=2,파라미터!$B$11,0)+IF(H50&gt;=3,파라미터!$B$12,0))-파라미터!$B$15))*파라미터!$B$16-H50*파라미터!$B$7-MAX(0,파라미터!$B$19+파라미터!$B$20-MIN(파라미터!$B$15,파라미터!$B$5*(IF(H50&gt;=1,파라미터!$B$10,0)+IF(H50&gt;=2,파라미터!$B$11,0)+IF(H50&gt;=3,파라미터!$B$12,0))))-IF(MOD($A50-1,파라미터!$B$22)=0,파라미터!$B$21,0)</f>
        <v/>
      </c>
      <c r="J50" s="15">
        <f>MAX(0,J49+I50)</f>
        <v/>
      </c>
      <c r="K50" s="14">
        <f>IF(OR($A50&lt;파라미터!$B$6,MOD($A50,파라미터!$B$6)&gt;=5),0,INT((5-MOD($A50,파라미터!$B$6)-1)/파라미터!$B$6)+1)</f>
        <v/>
      </c>
      <c r="L50" s="15">
        <f>((K50*파라미터!$B$5-파라미터!$B$5*(IF(K50&gt;=1,파라미터!$B$10,0)+IF(K50&gt;=2,파라미터!$B$11,0)+IF(K50&gt;=3,파라미터!$B$12,0)))+MAX(0,파라미터!$B$5*(IF(K50&gt;=1,파라미터!$B$10,0)+IF(K50&gt;=2,파라미터!$B$11,0)+IF(K50&gt;=3,파라미터!$B$12,0))-파라미터!$B$15))*파라미터!$B$16-K50*파라미터!$B$7-MAX(0,파라미터!$B$19+파라미터!$B$20-MIN(파라미터!$B$15,파라미터!$B$5*(IF(K50&gt;=1,파라미터!$B$10,0)+IF(K50&gt;=2,파라미터!$B$11,0)+IF(K50&gt;=3,파라미터!$B$12,0))))-IF(MOD($A50-1,파라미터!$B$22)=0,파라미터!$B$21,0)</f>
        <v/>
      </c>
      <c r="M50" s="15">
        <f>MAX(0,M49+L50)</f>
        <v/>
      </c>
      <c r="N50" s="14">
        <f>IF(OR($A50&lt;파라미터!$B$6,MOD($A50,파라미터!$B$6)&gt;=10),0,INT((10-MOD($A50,파라미터!$B$6)-1)/파라미터!$B$6)+1)</f>
        <v/>
      </c>
      <c r="O50" s="15">
        <f>((N50*파라미터!$B$5-파라미터!$B$5*(IF(N50&gt;=1,파라미터!$B$10,0)+IF(N50&gt;=2,파라미터!$B$11,0)+IF(N50&gt;=3,파라미터!$B$12,0)))+MAX(0,파라미터!$B$5*(IF(N50&gt;=1,파라미터!$B$10,0)+IF(N50&gt;=2,파라미터!$B$11,0)+IF(N50&gt;=3,파라미터!$B$12,0))-파라미터!$B$15))*파라미터!$B$16-N50*파라미터!$B$7-MAX(0,파라미터!$B$19+파라미터!$B$20-MIN(파라미터!$B$15,파라미터!$B$5*(IF(N50&gt;=1,파라미터!$B$10,0)+IF(N50&gt;=2,파라미터!$B$11,0)+IF(N50&gt;=3,파라미터!$B$12,0))))-IF(MOD($A50-1,파라미터!$B$22)=0,파라미터!$B$21,0)</f>
        <v/>
      </c>
      <c r="P50" s="15">
        <f>MAX(0,P49+O50)</f>
        <v/>
      </c>
      <c r="Q50" s="14">
        <f>IF(OR($A50&lt;파라미터!$B$6,MOD($A50,파라미터!$B$6)&gt;=20),0,INT((20-MOD($A50,파라미터!$B$6)-1)/파라미터!$B$6)+1)</f>
        <v/>
      </c>
      <c r="R50" s="15">
        <f>((Q50*파라미터!$B$5-파라미터!$B$5*(IF(Q50&gt;=1,파라미터!$B$10,0)+IF(Q50&gt;=2,파라미터!$B$11,0)+IF(Q50&gt;=3,파라미터!$B$12,0)))+MAX(0,파라미터!$B$5*(IF(Q50&gt;=1,파라미터!$B$10,0)+IF(Q50&gt;=2,파라미터!$B$11,0)+IF(Q50&gt;=3,파라미터!$B$12,0))-파라미터!$B$15))*파라미터!$B$16-Q50*파라미터!$B$7-MAX(0,파라미터!$B$19+파라미터!$B$20-MIN(파라미터!$B$15,파라미터!$B$5*(IF(Q50&gt;=1,파라미터!$B$10,0)+IF(Q50&gt;=2,파라미터!$B$11,0)+IF(Q50&gt;=3,파라미터!$B$12,0))))-IF(MOD($A50-1,파라미터!$B$22)=0,파라미터!$B$21,0)</f>
        <v/>
      </c>
      <c r="S50" s="15">
        <f>MAX(0,S49+R50)</f>
        <v/>
      </c>
    </row>
    <row r="51">
      <c r="A51" s="13" t="n">
        <v>47</v>
      </c>
      <c r="B51" s="14">
        <f>IF(OR($A51&lt;파라미터!$B$6,MOD($A51,파라미터!$B$6)&gt;=1),0,INT((1-MOD($A51,파라미터!$B$6)-1)/파라미터!$B$6)+1)</f>
        <v/>
      </c>
      <c r="C51" s="15">
        <f>((B51*파라미터!$B$5-파라미터!$B$5*(IF(B51&gt;=1,파라미터!$B$10,0)+IF(B51&gt;=2,파라미터!$B$11,0)+IF(B51&gt;=3,파라미터!$B$12,0)))+MAX(0,파라미터!$B$5*(IF(B51&gt;=1,파라미터!$B$10,0)+IF(B51&gt;=2,파라미터!$B$11,0)+IF(B51&gt;=3,파라미터!$B$12,0))-파라미터!$B$15))*파라미터!$B$16-B51*파라미터!$B$7-MAX(0,파라미터!$B$19+파라미터!$B$20-MIN(파라미터!$B$15,파라미터!$B$5*(IF(B51&gt;=1,파라미터!$B$10,0)+IF(B51&gt;=2,파라미터!$B$11,0)+IF(B51&gt;=3,파라미터!$B$12,0))))-IF(MOD($A51-1,파라미터!$B$22)=0,파라미터!$B$21,0)</f>
        <v/>
      </c>
      <c r="D51" s="15">
        <f>MAX(0,D50+C51)</f>
        <v/>
      </c>
      <c r="E51" s="14">
        <f>IF(OR($A51&lt;파라미터!$B$6,MOD($A51,파라미터!$B$6)&gt;=2),0,INT((2-MOD($A51,파라미터!$B$6)-1)/파라미터!$B$6)+1)</f>
        <v/>
      </c>
      <c r="F51" s="15">
        <f>((E51*파라미터!$B$5-파라미터!$B$5*(IF(E51&gt;=1,파라미터!$B$10,0)+IF(E51&gt;=2,파라미터!$B$11,0)+IF(E51&gt;=3,파라미터!$B$12,0)))+MAX(0,파라미터!$B$5*(IF(E51&gt;=1,파라미터!$B$10,0)+IF(E51&gt;=2,파라미터!$B$11,0)+IF(E51&gt;=3,파라미터!$B$12,0))-파라미터!$B$15))*파라미터!$B$16-E51*파라미터!$B$7-MAX(0,파라미터!$B$19+파라미터!$B$20-MIN(파라미터!$B$15,파라미터!$B$5*(IF(E51&gt;=1,파라미터!$B$10,0)+IF(E51&gt;=2,파라미터!$B$11,0)+IF(E51&gt;=3,파라미터!$B$12,0))))-IF(MOD($A51-1,파라미터!$B$22)=0,파라미터!$B$21,0)</f>
        <v/>
      </c>
      <c r="G51" s="15">
        <f>MAX(0,G50+F51)</f>
        <v/>
      </c>
      <c r="H51" s="14">
        <f>IF(OR($A51&lt;파라미터!$B$6,MOD($A51,파라미터!$B$6)&gt;=3),0,INT((3-MOD($A51,파라미터!$B$6)-1)/파라미터!$B$6)+1)</f>
        <v/>
      </c>
      <c r="I51" s="15">
        <f>((H51*파라미터!$B$5-파라미터!$B$5*(IF(H51&gt;=1,파라미터!$B$10,0)+IF(H51&gt;=2,파라미터!$B$11,0)+IF(H51&gt;=3,파라미터!$B$12,0)))+MAX(0,파라미터!$B$5*(IF(H51&gt;=1,파라미터!$B$10,0)+IF(H51&gt;=2,파라미터!$B$11,0)+IF(H51&gt;=3,파라미터!$B$12,0))-파라미터!$B$15))*파라미터!$B$16-H51*파라미터!$B$7-MAX(0,파라미터!$B$19+파라미터!$B$20-MIN(파라미터!$B$15,파라미터!$B$5*(IF(H51&gt;=1,파라미터!$B$10,0)+IF(H51&gt;=2,파라미터!$B$11,0)+IF(H51&gt;=3,파라미터!$B$12,0))))-IF(MOD($A51-1,파라미터!$B$22)=0,파라미터!$B$21,0)</f>
        <v/>
      </c>
      <c r="J51" s="15">
        <f>MAX(0,J50+I51)</f>
        <v/>
      </c>
      <c r="K51" s="14">
        <f>IF(OR($A51&lt;파라미터!$B$6,MOD($A51,파라미터!$B$6)&gt;=5),0,INT((5-MOD($A51,파라미터!$B$6)-1)/파라미터!$B$6)+1)</f>
        <v/>
      </c>
      <c r="L51" s="15">
        <f>((K51*파라미터!$B$5-파라미터!$B$5*(IF(K51&gt;=1,파라미터!$B$10,0)+IF(K51&gt;=2,파라미터!$B$11,0)+IF(K51&gt;=3,파라미터!$B$12,0)))+MAX(0,파라미터!$B$5*(IF(K51&gt;=1,파라미터!$B$10,0)+IF(K51&gt;=2,파라미터!$B$11,0)+IF(K51&gt;=3,파라미터!$B$12,0))-파라미터!$B$15))*파라미터!$B$16-K51*파라미터!$B$7-MAX(0,파라미터!$B$19+파라미터!$B$20-MIN(파라미터!$B$15,파라미터!$B$5*(IF(K51&gt;=1,파라미터!$B$10,0)+IF(K51&gt;=2,파라미터!$B$11,0)+IF(K51&gt;=3,파라미터!$B$12,0))))-IF(MOD($A51-1,파라미터!$B$22)=0,파라미터!$B$21,0)</f>
        <v/>
      </c>
      <c r="M51" s="15">
        <f>MAX(0,M50+L51)</f>
        <v/>
      </c>
      <c r="N51" s="14">
        <f>IF(OR($A51&lt;파라미터!$B$6,MOD($A51,파라미터!$B$6)&gt;=10),0,INT((10-MOD($A51,파라미터!$B$6)-1)/파라미터!$B$6)+1)</f>
        <v/>
      </c>
      <c r="O51" s="15">
        <f>((N51*파라미터!$B$5-파라미터!$B$5*(IF(N51&gt;=1,파라미터!$B$10,0)+IF(N51&gt;=2,파라미터!$B$11,0)+IF(N51&gt;=3,파라미터!$B$12,0)))+MAX(0,파라미터!$B$5*(IF(N51&gt;=1,파라미터!$B$10,0)+IF(N51&gt;=2,파라미터!$B$11,0)+IF(N51&gt;=3,파라미터!$B$12,0))-파라미터!$B$15))*파라미터!$B$16-N51*파라미터!$B$7-MAX(0,파라미터!$B$19+파라미터!$B$20-MIN(파라미터!$B$15,파라미터!$B$5*(IF(N51&gt;=1,파라미터!$B$10,0)+IF(N51&gt;=2,파라미터!$B$11,0)+IF(N51&gt;=3,파라미터!$B$12,0))))-IF(MOD($A51-1,파라미터!$B$22)=0,파라미터!$B$21,0)</f>
        <v/>
      </c>
      <c r="P51" s="15">
        <f>MAX(0,P50+O51)</f>
        <v/>
      </c>
      <c r="Q51" s="14">
        <f>IF(OR($A51&lt;파라미터!$B$6,MOD($A51,파라미터!$B$6)&gt;=20),0,INT((20-MOD($A51,파라미터!$B$6)-1)/파라미터!$B$6)+1)</f>
        <v/>
      </c>
      <c r="R51" s="15">
        <f>((Q51*파라미터!$B$5-파라미터!$B$5*(IF(Q51&gt;=1,파라미터!$B$10,0)+IF(Q51&gt;=2,파라미터!$B$11,0)+IF(Q51&gt;=3,파라미터!$B$12,0)))+MAX(0,파라미터!$B$5*(IF(Q51&gt;=1,파라미터!$B$10,0)+IF(Q51&gt;=2,파라미터!$B$11,0)+IF(Q51&gt;=3,파라미터!$B$12,0))-파라미터!$B$15))*파라미터!$B$16-Q51*파라미터!$B$7-MAX(0,파라미터!$B$19+파라미터!$B$20-MIN(파라미터!$B$15,파라미터!$B$5*(IF(Q51&gt;=1,파라미터!$B$10,0)+IF(Q51&gt;=2,파라미터!$B$11,0)+IF(Q51&gt;=3,파라미터!$B$12,0))))-IF(MOD($A51-1,파라미터!$B$22)=0,파라미터!$B$21,0)</f>
        <v/>
      </c>
      <c r="S51" s="15">
        <f>MAX(0,S50+R51)</f>
        <v/>
      </c>
    </row>
    <row r="52">
      <c r="A52" s="13" t="n">
        <v>48</v>
      </c>
      <c r="B52" s="14">
        <f>IF(OR($A52&lt;파라미터!$B$6,MOD($A52,파라미터!$B$6)&gt;=1),0,INT((1-MOD($A52,파라미터!$B$6)-1)/파라미터!$B$6)+1)</f>
        <v/>
      </c>
      <c r="C52" s="15">
        <f>((B52*파라미터!$B$5-파라미터!$B$5*(IF(B52&gt;=1,파라미터!$B$10,0)+IF(B52&gt;=2,파라미터!$B$11,0)+IF(B52&gt;=3,파라미터!$B$12,0)))+MAX(0,파라미터!$B$5*(IF(B52&gt;=1,파라미터!$B$10,0)+IF(B52&gt;=2,파라미터!$B$11,0)+IF(B52&gt;=3,파라미터!$B$12,0))-파라미터!$B$15))*파라미터!$B$16-B52*파라미터!$B$7-MAX(0,파라미터!$B$19+파라미터!$B$20-MIN(파라미터!$B$15,파라미터!$B$5*(IF(B52&gt;=1,파라미터!$B$10,0)+IF(B52&gt;=2,파라미터!$B$11,0)+IF(B52&gt;=3,파라미터!$B$12,0))))-IF(MOD($A52-1,파라미터!$B$22)=0,파라미터!$B$21,0)</f>
        <v/>
      </c>
      <c r="D52" s="15">
        <f>MAX(0,D51+C52)</f>
        <v/>
      </c>
      <c r="E52" s="14">
        <f>IF(OR($A52&lt;파라미터!$B$6,MOD($A52,파라미터!$B$6)&gt;=2),0,INT((2-MOD($A52,파라미터!$B$6)-1)/파라미터!$B$6)+1)</f>
        <v/>
      </c>
      <c r="F52" s="15">
        <f>((E52*파라미터!$B$5-파라미터!$B$5*(IF(E52&gt;=1,파라미터!$B$10,0)+IF(E52&gt;=2,파라미터!$B$11,0)+IF(E52&gt;=3,파라미터!$B$12,0)))+MAX(0,파라미터!$B$5*(IF(E52&gt;=1,파라미터!$B$10,0)+IF(E52&gt;=2,파라미터!$B$11,0)+IF(E52&gt;=3,파라미터!$B$12,0))-파라미터!$B$15))*파라미터!$B$16-E52*파라미터!$B$7-MAX(0,파라미터!$B$19+파라미터!$B$20-MIN(파라미터!$B$15,파라미터!$B$5*(IF(E52&gt;=1,파라미터!$B$10,0)+IF(E52&gt;=2,파라미터!$B$11,0)+IF(E52&gt;=3,파라미터!$B$12,0))))-IF(MOD($A52-1,파라미터!$B$22)=0,파라미터!$B$21,0)</f>
        <v/>
      </c>
      <c r="G52" s="15">
        <f>MAX(0,G51+F52)</f>
        <v/>
      </c>
      <c r="H52" s="14">
        <f>IF(OR($A52&lt;파라미터!$B$6,MOD($A52,파라미터!$B$6)&gt;=3),0,INT((3-MOD($A52,파라미터!$B$6)-1)/파라미터!$B$6)+1)</f>
        <v/>
      </c>
      <c r="I52" s="15">
        <f>((H52*파라미터!$B$5-파라미터!$B$5*(IF(H52&gt;=1,파라미터!$B$10,0)+IF(H52&gt;=2,파라미터!$B$11,0)+IF(H52&gt;=3,파라미터!$B$12,0)))+MAX(0,파라미터!$B$5*(IF(H52&gt;=1,파라미터!$B$10,0)+IF(H52&gt;=2,파라미터!$B$11,0)+IF(H52&gt;=3,파라미터!$B$12,0))-파라미터!$B$15))*파라미터!$B$16-H52*파라미터!$B$7-MAX(0,파라미터!$B$19+파라미터!$B$20-MIN(파라미터!$B$15,파라미터!$B$5*(IF(H52&gt;=1,파라미터!$B$10,0)+IF(H52&gt;=2,파라미터!$B$11,0)+IF(H52&gt;=3,파라미터!$B$12,0))))-IF(MOD($A52-1,파라미터!$B$22)=0,파라미터!$B$21,0)</f>
        <v/>
      </c>
      <c r="J52" s="15">
        <f>MAX(0,J51+I52)</f>
        <v/>
      </c>
      <c r="K52" s="14">
        <f>IF(OR($A52&lt;파라미터!$B$6,MOD($A52,파라미터!$B$6)&gt;=5),0,INT((5-MOD($A52,파라미터!$B$6)-1)/파라미터!$B$6)+1)</f>
        <v/>
      </c>
      <c r="L52" s="15">
        <f>((K52*파라미터!$B$5-파라미터!$B$5*(IF(K52&gt;=1,파라미터!$B$10,0)+IF(K52&gt;=2,파라미터!$B$11,0)+IF(K52&gt;=3,파라미터!$B$12,0)))+MAX(0,파라미터!$B$5*(IF(K52&gt;=1,파라미터!$B$10,0)+IF(K52&gt;=2,파라미터!$B$11,0)+IF(K52&gt;=3,파라미터!$B$12,0))-파라미터!$B$15))*파라미터!$B$16-K52*파라미터!$B$7-MAX(0,파라미터!$B$19+파라미터!$B$20-MIN(파라미터!$B$15,파라미터!$B$5*(IF(K52&gt;=1,파라미터!$B$10,0)+IF(K52&gt;=2,파라미터!$B$11,0)+IF(K52&gt;=3,파라미터!$B$12,0))))-IF(MOD($A52-1,파라미터!$B$22)=0,파라미터!$B$21,0)</f>
        <v/>
      </c>
      <c r="M52" s="15">
        <f>MAX(0,M51+L52)</f>
        <v/>
      </c>
      <c r="N52" s="14">
        <f>IF(OR($A52&lt;파라미터!$B$6,MOD($A52,파라미터!$B$6)&gt;=10),0,INT((10-MOD($A52,파라미터!$B$6)-1)/파라미터!$B$6)+1)</f>
        <v/>
      </c>
      <c r="O52" s="15">
        <f>((N52*파라미터!$B$5-파라미터!$B$5*(IF(N52&gt;=1,파라미터!$B$10,0)+IF(N52&gt;=2,파라미터!$B$11,0)+IF(N52&gt;=3,파라미터!$B$12,0)))+MAX(0,파라미터!$B$5*(IF(N52&gt;=1,파라미터!$B$10,0)+IF(N52&gt;=2,파라미터!$B$11,0)+IF(N52&gt;=3,파라미터!$B$12,0))-파라미터!$B$15))*파라미터!$B$16-N52*파라미터!$B$7-MAX(0,파라미터!$B$19+파라미터!$B$20-MIN(파라미터!$B$15,파라미터!$B$5*(IF(N52&gt;=1,파라미터!$B$10,0)+IF(N52&gt;=2,파라미터!$B$11,0)+IF(N52&gt;=3,파라미터!$B$12,0))))-IF(MOD($A52-1,파라미터!$B$22)=0,파라미터!$B$21,0)</f>
        <v/>
      </c>
      <c r="P52" s="15">
        <f>MAX(0,P51+O52)</f>
        <v/>
      </c>
      <c r="Q52" s="14">
        <f>IF(OR($A52&lt;파라미터!$B$6,MOD($A52,파라미터!$B$6)&gt;=20),0,INT((20-MOD($A52,파라미터!$B$6)-1)/파라미터!$B$6)+1)</f>
        <v/>
      </c>
      <c r="R52" s="15">
        <f>((Q52*파라미터!$B$5-파라미터!$B$5*(IF(Q52&gt;=1,파라미터!$B$10,0)+IF(Q52&gt;=2,파라미터!$B$11,0)+IF(Q52&gt;=3,파라미터!$B$12,0)))+MAX(0,파라미터!$B$5*(IF(Q52&gt;=1,파라미터!$B$10,0)+IF(Q52&gt;=2,파라미터!$B$11,0)+IF(Q52&gt;=3,파라미터!$B$12,0))-파라미터!$B$15))*파라미터!$B$16-Q52*파라미터!$B$7-MAX(0,파라미터!$B$19+파라미터!$B$20-MIN(파라미터!$B$15,파라미터!$B$5*(IF(Q52&gt;=1,파라미터!$B$10,0)+IF(Q52&gt;=2,파라미터!$B$11,0)+IF(Q52&gt;=3,파라미터!$B$12,0))))-IF(MOD($A52-1,파라미터!$B$22)=0,파라미터!$B$21,0)</f>
        <v/>
      </c>
      <c r="S52" s="15">
        <f>MAX(0,S51+R52)</f>
        <v/>
      </c>
    </row>
    <row r="53">
      <c r="A53" s="13" t="n">
        <v>49</v>
      </c>
      <c r="B53" s="14">
        <f>IF(OR($A53&lt;파라미터!$B$6,MOD($A53,파라미터!$B$6)&gt;=1),0,INT((1-MOD($A53,파라미터!$B$6)-1)/파라미터!$B$6)+1)</f>
        <v/>
      </c>
      <c r="C53" s="15">
        <f>((B53*파라미터!$B$5-파라미터!$B$5*(IF(B53&gt;=1,파라미터!$B$10,0)+IF(B53&gt;=2,파라미터!$B$11,0)+IF(B53&gt;=3,파라미터!$B$12,0)))+MAX(0,파라미터!$B$5*(IF(B53&gt;=1,파라미터!$B$10,0)+IF(B53&gt;=2,파라미터!$B$11,0)+IF(B53&gt;=3,파라미터!$B$12,0))-파라미터!$B$15))*파라미터!$B$16-B53*파라미터!$B$7-MAX(0,파라미터!$B$19+파라미터!$B$20-MIN(파라미터!$B$15,파라미터!$B$5*(IF(B53&gt;=1,파라미터!$B$10,0)+IF(B53&gt;=2,파라미터!$B$11,0)+IF(B53&gt;=3,파라미터!$B$12,0))))-IF(MOD($A53-1,파라미터!$B$22)=0,파라미터!$B$21,0)</f>
        <v/>
      </c>
      <c r="D53" s="15">
        <f>MAX(0,D52+C53)</f>
        <v/>
      </c>
      <c r="E53" s="14">
        <f>IF(OR($A53&lt;파라미터!$B$6,MOD($A53,파라미터!$B$6)&gt;=2),0,INT((2-MOD($A53,파라미터!$B$6)-1)/파라미터!$B$6)+1)</f>
        <v/>
      </c>
      <c r="F53" s="15">
        <f>((E53*파라미터!$B$5-파라미터!$B$5*(IF(E53&gt;=1,파라미터!$B$10,0)+IF(E53&gt;=2,파라미터!$B$11,0)+IF(E53&gt;=3,파라미터!$B$12,0)))+MAX(0,파라미터!$B$5*(IF(E53&gt;=1,파라미터!$B$10,0)+IF(E53&gt;=2,파라미터!$B$11,0)+IF(E53&gt;=3,파라미터!$B$12,0))-파라미터!$B$15))*파라미터!$B$16-E53*파라미터!$B$7-MAX(0,파라미터!$B$19+파라미터!$B$20-MIN(파라미터!$B$15,파라미터!$B$5*(IF(E53&gt;=1,파라미터!$B$10,0)+IF(E53&gt;=2,파라미터!$B$11,0)+IF(E53&gt;=3,파라미터!$B$12,0))))-IF(MOD($A53-1,파라미터!$B$22)=0,파라미터!$B$21,0)</f>
        <v/>
      </c>
      <c r="G53" s="15">
        <f>MAX(0,G52+F53)</f>
        <v/>
      </c>
      <c r="H53" s="14">
        <f>IF(OR($A53&lt;파라미터!$B$6,MOD($A53,파라미터!$B$6)&gt;=3),0,INT((3-MOD($A53,파라미터!$B$6)-1)/파라미터!$B$6)+1)</f>
        <v/>
      </c>
      <c r="I53" s="15">
        <f>((H53*파라미터!$B$5-파라미터!$B$5*(IF(H53&gt;=1,파라미터!$B$10,0)+IF(H53&gt;=2,파라미터!$B$11,0)+IF(H53&gt;=3,파라미터!$B$12,0)))+MAX(0,파라미터!$B$5*(IF(H53&gt;=1,파라미터!$B$10,0)+IF(H53&gt;=2,파라미터!$B$11,0)+IF(H53&gt;=3,파라미터!$B$12,0))-파라미터!$B$15))*파라미터!$B$16-H53*파라미터!$B$7-MAX(0,파라미터!$B$19+파라미터!$B$20-MIN(파라미터!$B$15,파라미터!$B$5*(IF(H53&gt;=1,파라미터!$B$10,0)+IF(H53&gt;=2,파라미터!$B$11,0)+IF(H53&gt;=3,파라미터!$B$12,0))))-IF(MOD($A53-1,파라미터!$B$22)=0,파라미터!$B$21,0)</f>
        <v/>
      </c>
      <c r="J53" s="15">
        <f>MAX(0,J52+I53)</f>
        <v/>
      </c>
      <c r="K53" s="14">
        <f>IF(OR($A53&lt;파라미터!$B$6,MOD($A53,파라미터!$B$6)&gt;=5),0,INT((5-MOD($A53,파라미터!$B$6)-1)/파라미터!$B$6)+1)</f>
        <v/>
      </c>
      <c r="L53" s="15">
        <f>((K53*파라미터!$B$5-파라미터!$B$5*(IF(K53&gt;=1,파라미터!$B$10,0)+IF(K53&gt;=2,파라미터!$B$11,0)+IF(K53&gt;=3,파라미터!$B$12,0)))+MAX(0,파라미터!$B$5*(IF(K53&gt;=1,파라미터!$B$10,0)+IF(K53&gt;=2,파라미터!$B$11,0)+IF(K53&gt;=3,파라미터!$B$12,0))-파라미터!$B$15))*파라미터!$B$16-K53*파라미터!$B$7-MAX(0,파라미터!$B$19+파라미터!$B$20-MIN(파라미터!$B$15,파라미터!$B$5*(IF(K53&gt;=1,파라미터!$B$10,0)+IF(K53&gt;=2,파라미터!$B$11,0)+IF(K53&gt;=3,파라미터!$B$12,0))))-IF(MOD($A53-1,파라미터!$B$22)=0,파라미터!$B$21,0)</f>
        <v/>
      </c>
      <c r="M53" s="15">
        <f>MAX(0,M52+L53)</f>
        <v/>
      </c>
      <c r="N53" s="14">
        <f>IF(OR($A53&lt;파라미터!$B$6,MOD($A53,파라미터!$B$6)&gt;=10),0,INT((10-MOD($A53,파라미터!$B$6)-1)/파라미터!$B$6)+1)</f>
        <v/>
      </c>
      <c r="O53" s="15">
        <f>((N53*파라미터!$B$5-파라미터!$B$5*(IF(N53&gt;=1,파라미터!$B$10,0)+IF(N53&gt;=2,파라미터!$B$11,0)+IF(N53&gt;=3,파라미터!$B$12,0)))+MAX(0,파라미터!$B$5*(IF(N53&gt;=1,파라미터!$B$10,0)+IF(N53&gt;=2,파라미터!$B$11,0)+IF(N53&gt;=3,파라미터!$B$12,0))-파라미터!$B$15))*파라미터!$B$16-N53*파라미터!$B$7-MAX(0,파라미터!$B$19+파라미터!$B$20-MIN(파라미터!$B$15,파라미터!$B$5*(IF(N53&gt;=1,파라미터!$B$10,0)+IF(N53&gt;=2,파라미터!$B$11,0)+IF(N53&gt;=3,파라미터!$B$12,0))))-IF(MOD($A53-1,파라미터!$B$22)=0,파라미터!$B$21,0)</f>
        <v/>
      </c>
      <c r="P53" s="15">
        <f>MAX(0,P52+O53)</f>
        <v/>
      </c>
      <c r="Q53" s="14">
        <f>IF(OR($A53&lt;파라미터!$B$6,MOD($A53,파라미터!$B$6)&gt;=20),0,INT((20-MOD($A53,파라미터!$B$6)-1)/파라미터!$B$6)+1)</f>
        <v/>
      </c>
      <c r="R53" s="15">
        <f>((Q53*파라미터!$B$5-파라미터!$B$5*(IF(Q53&gt;=1,파라미터!$B$10,0)+IF(Q53&gt;=2,파라미터!$B$11,0)+IF(Q53&gt;=3,파라미터!$B$12,0)))+MAX(0,파라미터!$B$5*(IF(Q53&gt;=1,파라미터!$B$10,0)+IF(Q53&gt;=2,파라미터!$B$11,0)+IF(Q53&gt;=3,파라미터!$B$12,0))-파라미터!$B$15))*파라미터!$B$16-Q53*파라미터!$B$7-MAX(0,파라미터!$B$19+파라미터!$B$20-MIN(파라미터!$B$15,파라미터!$B$5*(IF(Q53&gt;=1,파라미터!$B$10,0)+IF(Q53&gt;=2,파라미터!$B$11,0)+IF(Q53&gt;=3,파라미터!$B$12,0))))-IF(MOD($A53-1,파라미터!$B$22)=0,파라미터!$B$21,0)</f>
        <v/>
      </c>
      <c r="S53" s="15">
        <f>MAX(0,S52+R53)</f>
        <v/>
      </c>
    </row>
    <row r="54">
      <c r="A54" s="13" t="n">
        <v>50</v>
      </c>
      <c r="B54" s="14">
        <f>IF(OR($A54&lt;파라미터!$B$6,MOD($A54,파라미터!$B$6)&gt;=1),0,INT((1-MOD($A54,파라미터!$B$6)-1)/파라미터!$B$6)+1)</f>
        <v/>
      </c>
      <c r="C54" s="15">
        <f>((B54*파라미터!$B$5-파라미터!$B$5*(IF(B54&gt;=1,파라미터!$B$10,0)+IF(B54&gt;=2,파라미터!$B$11,0)+IF(B54&gt;=3,파라미터!$B$12,0)))+MAX(0,파라미터!$B$5*(IF(B54&gt;=1,파라미터!$B$10,0)+IF(B54&gt;=2,파라미터!$B$11,0)+IF(B54&gt;=3,파라미터!$B$12,0))-파라미터!$B$15))*파라미터!$B$16-B54*파라미터!$B$7-MAX(0,파라미터!$B$19+파라미터!$B$20-MIN(파라미터!$B$15,파라미터!$B$5*(IF(B54&gt;=1,파라미터!$B$10,0)+IF(B54&gt;=2,파라미터!$B$11,0)+IF(B54&gt;=3,파라미터!$B$12,0))))-IF(MOD($A54-1,파라미터!$B$22)=0,파라미터!$B$21,0)</f>
        <v/>
      </c>
      <c r="D54" s="15">
        <f>MAX(0,D53+C54)</f>
        <v/>
      </c>
      <c r="E54" s="14">
        <f>IF(OR($A54&lt;파라미터!$B$6,MOD($A54,파라미터!$B$6)&gt;=2),0,INT((2-MOD($A54,파라미터!$B$6)-1)/파라미터!$B$6)+1)</f>
        <v/>
      </c>
      <c r="F54" s="15">
        <f>((E54*파라미터!$B$5-파라미터!$B$5*(IF(E54&gt;=1,파라미터!$B$10,0)+IF(E54&gt;=2,파라미터!$B$11,0)+IF(E54&gt;=3,파라미터!$B$12,0)))+MAX(0,파라미터!$B$5*(IF(E54&gt;=1,파라미터!$B$10,0)+IF(E54&gt;=2,파라미터!$B$11,0)+IF(E54&gt;=3,파라미터!$B$12,0))-파라미터!$B$15))*파라미터!$B$16-E54*파라미터!$B$7-MAX(0,파라미터!$B$19+파라미터!$B$20-MIN(파라미터!$B$15,파라미터!$B$5*(IF(E54&gt;=1,파라미터!$B$10,0)+IF(E54&gt;=2,파라미터!$B$11,0)+IF(E54&gt;=3,파라미터!$B$12,0))))-IF(MOD($A54-1,파라미터!$B$22)=0,파라미터!$B$21,0)</f>
        <v/>
      </c>
      <c r="G54" s="15">
        <f>MAX(0,G53+F54)</f>
        <v/>
      </c>
      <c r="H54" s="14">
        <f>IF(OR($A54&lt;파라미터!$B$6,MOD($A54,파라미터!$B$6)&gt;=3),0,INT((3-MOD($A54,파라미터!$B$6)-1)/파라미터!$B$6)+1)</f>
        <v/>
      </c>
      <c r="I54" s="15">
        <f>((H54*파라미터!$B$5-파라미터!$B$5*(IF(H54&gt;=1,파라미터!$B$10,0)+IF(H54&gt;=2,파라미터!$B$11,0)+IF(H54&gt;=3,파라미터!$B$12,0)))+MAX(0,파라미터!$B$5*(IF(H54&gt;=1,파라미터!$B$10,0)+IF(H54&gt;=2,파라미터!$B$11,0)+IF(H54&gt;=3,파라미터!$B$12,0))-파라미터!$B$15))*파라미터!$B$16-H54*파라미터!$B$7-MAX(0,파라미터!$B$19+파라미터!$B$20-MIN(파라미터!$B$15,파라미터!$B$5*(IF(H54&gt;=1,파라미터!$B$10,0)+IF(H54&gt;=2,파라미터!$B$11,0)+IF(H54&gt;=3,파라미터!$B$12,0))))-IF(MOD($A54-1,파라미터!$B$22)=0,파라미터!$B$21,0)</f>
        <v/>
      </c>
      <c r="J54" s="15">
        <f>MAX(0,J53+I54)</f>
        <v/>
      </c>
      <c r="K54" s="14">
        <f>IF(OR($A54&lt;파라미터!$B$6,MOD($A54,파라미터!$B$6)&gt;=5),0,INT((5-MOD($A54,파라미터!$B$6)-1)/파라미터!$B$6)+1)</f>
        <v/>
      </c>
      <c r="L54" s="15">
        <f>((K54*파라미터!$B$5-파라미터!$B$5*(IF(K54&gt;=1,파라미터!$B$10,0)+IF(K54&gt;=2,파라미터!$B$11,0)+IF(K54&gt;=3,파라미터!$B$12,0)))+MAX(0,파라미터!$B$5*(IF(K54&gt;=1,파라미터!$B$10,0)+IF(K54&gt;=2,파라미터!$B$11,0)+IF(K54&gt;=3,파라미터!$B$12,0))-파라미터!$B$15))*파라미터!$B$16-K54*파라미터!$B$7-MAX(0,파라미터!$B$19+파라미터!$B$20-MIN(파라미터!$B$15,파라미터!$B$5*(IF(K54&gt;=1,파라미터!$B$10,0)+IF(K54&gt;=2,파라미터!$B$11,0)+IF(K54&gt;=3,파라미터!$B$12,0))))-IF(MOD($A54-1,파라미터!$B$22)=0,파라미터!$B$21,0)</f>
        <v/>
      </c>
      <c r="M54" s="15">
        <f>MAX(0,M53+L54)</f>
        <v/>
      </c>
      <c r="N54" s="14">
        <f>IF(OR($A54&lt;파라미터!$B$6,MOD($A54,파라미터!$B$6)&gt;=10),0,INT((10-MOD($A54,파라미터!$B$6)-1)/파라미터!$B$6)+1)</f>
        <v/>
      </c>
      <c r="O54" s="15">
        <f>((N54*파라미터!$B$5-파라미터!$B$5*(IF(N54&gt;=1,파라미터!$B$10,0)+IF(N54&gt;=2,파라미터!$B$11,0)+IF(N54&gt;=3,파라미터!$B$12,0)))+MAX(0,파라미터!$B$5*(IF(N54&gt;=1,파라미터!$B$10,0)+IF(N54&gt;=2,파라미터!$B$11,0)+IF(N54&gt;=3,파라미터!$B$12,0))-파라미터!$B$15))*파라미터!$B$16-N54*파라미터!$B$7-MAX(0,파라미터!$B$19+파라미터!$B$20-MIN(파라미터!$B$15,파라미터!$B$5*(IF(N54&gt;=1,파라미터!$B$10,0)+IF(N54&gt;=2,파라미터!$B$11,0)+IF(N54&gt;=3,파라미터!$B$12,0))))-IF(MOD($A54-1,파라미터!$B$22)=0,파라미터!$B$21,0)</f>
        <v/>
      </c>
      <c r="P54" s="15">
        <f>MAX(0,P53+O54)</f>
        <v/>
      </c>
      <c r="Q54" s="14">
        <f>IF(OR($A54&lt;파라미터!$B$6,MOD($A54,파라미터!$B$6)&gt;=20),0,INT((20-MOD($A54,파라미터!$B$6)-1)/파라미터!$B$6)+1)</f>
        <v/>
      </c>
      <c r="R54" s="15">
        <f>((Q54*파라미터!$B$5-파라미터!$B$5*(IF(Q54&gt;=1,파라미터!$B$10,0)+IF(Q54&gt;=2,파라미터!$B$11,0)+IF(Q54&gt;=3,파라미터!$B$12,0)))+MAX(0,파라미터!$B$5*(IF(Q54&gt;=1,파라미터!$B$10,0)+IF(Q54&gt;=2,파라미터!$B$11,0)+IF(Q54&gt;=3,파라미터!$B$12,0))-파라미터!$B$15))*파라미터!$B$16-Q54*파라미터!$B$7-MAX(0,파라미터!$B$19+파라미터!$B$20-MIN(파라미터!$B$15,파라미터!$B$5*(IF(Q54&gt;=1,파라미터!$B$10,0)+IF(Q54&gt;=2,파라미터!$B$11,0)+IF(Q54&gt;=3,파라미터!$B$12,0))))-IF(MOD($A54-1,파라미터!$B$22)=0,파라미터!$B$21,0)</f>
        <v/>
      </c>
      <c r="S54" s="15">
        <f>MAX(0,S53+R54)</f>
        <v/>
      </c>
    </row>
    <row r="55">
      <c r="A55" s="13" t="n">
        <v>51</v>
      </c>
      <c r="B55" s="14">
        <f>IF(OR($A55&lt;파라미터!$B$6,MOD($A55,파라미터!$B$6)&gt;=1),0,INT((1-MOD($A55,파라미터!$B$6)-1)/파라미터!$B$6)+1)</f>
        <v/>
      </c>
      <c r="C55" s="15">
        <f>((B55*파라미터!$B$5-파라미터!$B$5*(IF(B55&gt;=1,파라미터!$B$10,0)+IF(B55&gt;=2,파라미터!$B$11,0)+IF(B55&gt;=3,파라미터!$B$12,0)))+MAX(0,파라미터!$B$5*(IF(B55&gt;=1,파라미터!$B$10,0)+IF(B55&gt;=2,파라미터!$B$11,0)+IF(B55&gt;=3,파라미터!$B$12,0))-파라미터!$B$15))*파라미터!$B$16-B55*파라미터!$B$7-MAX(0,파라미터!$B$19+파라미터!$B$20-MIN(파라미터!$B$15,파라미터!$B$5*(IF(B55&gt;=1,파라미터!$B$10,0)+IF(B55&gt;=2,파라미터!$B$11,0)+IF(B55&gt;=3,파라미터!$B$12,0))))-IF(MOD($A55-1,파라미터!$B$22)=0,파라미터!$B$21,0)</f>
        <v/>
      </c>
      <c r="D55" s="15">
        <f>MAX(0,D54+C55)</f>
        <v/>
      </c>
      <c r="E55" s="14">
        <f>IF(OR($A55&lt;파라미터!$B$6,MOD($A55,파라미터!$B$6)&gt;=2),0,INT((2-MOD($A55,파라미터!$B$6)-1)/파라미터!$B$6)+1)</f>
        <v/>
      </c>
      <c r="F55" s="15">
        <f>((E55*파라미터!$B$5-파라미터!$B$5*(IF(E55&gt;=1,파라미터!$B$10,0)+IF(E55&gt;=2,파라미터!$B$11,0)+IF(E55&gt;=3,파라미터!$B$12,0)))+MAX(0,파라미터!$B$5*(IF(E55&gt;=1,파라미터!$B$10,0)+IF(E55&gt;=2,파라미터!$B$11,0)+IF(E55&gt;=3,파라미터!$B$12,0))-파라미터!$B$15))*파라미터!$B$16-E55*파라미터!$B$7-MAX(0,파라미터!$B$19+파라미터!$B$20-MIN(파라미터!$B$15,파라미터!$B$5*(IF(E55&gt;=1,파라미터!$B$10,0)+IF(E55&gt;=2,파라미터!$B$11,0)+IF(E55&gt;=3,파라미터!$B$12,0))))-IF(MOD($A55-1,파라미터!$B$22)=0,파라미터!$B$21,0)</f>
        <v/>
      </c>
      <c r="G55" s="15">
        <f>MAX(0,G54+F55)</f>
        <v/>
      </c>
      <c r="H55" s="14">
        <f>IF(OR($A55&lt;파라미터!$B$6,MOD($A55,파라미터!$B$6)&gt;=3),0,INT((3-MOD($A55,파라미터!$B$6)-1)/파라미터!$B$6)+1)</f>
        <v/>
      </c>
      <c r="I55" s="15">
        <f>((H55*파라미터!$B$5-파라미터!$B$5*(IF(H55&gt;=1,파라미터!$B$10,0)+IF(H55&gt;=2,파라미터!$B$11,0)+IF(H55&gt;=3,파라미터!$B$12,0)))+MAX(0,파라미터!$B$5*(IF(H55&gt;=1,파라미터!$B$10,0)+IF(H55&gt;=2,파라미터!$B$11,0)+IF(H55&gt;=3,파라미터!$B$12,0))-파라미터!$B$15))*파라미터!$B$16-H55*파라미터!$B$7-MAX(0,파라미터!$B$19+파라미터!$B$20-MIN(파라미터!$B$15,파라미터!$B$5*(IF(H55&gt;=1,파라미터!$B$10,0)+IF(H55&gt;=2,파라미터!$B$11,0)+IF(H55&gt;=3,파라미터!$B$12,0))))-IF(MOD($A55-1,파라미터!$B$22)=0,파라미터!$B$21,0)</f>
        <v/>
      </c>
      <c r="J55" s="15">
        <f>MAX(0,J54+I55)</f>
        <v/>
      </c>
      <c r="K55" s="14">
        <f>IF(OR($A55&lt;파라미터!$B$6,MOD($A55,파라미터!$B$6)&gt;=5),0,INT((5-MOD($A55,파라미터!$B$6)-1)/파라미터!$B$6)+1)</f>
        <v/>
      </c>
      <c r="L55" s="15">
        <f>((K55*파라미터!$B$5-파라미터!$B$5*(IF(K55&gt;=1,파라미터!$B$10,0)+IF(K55&gt;=2,파라미터!$B$11,0)+IF(K55&gt;=3,파라미터!$B$12,0)))+MAX(0,파라미터!$B$5*(IF(K55&gt;=1,파라미터!$B$10,0)+IF(K55&gt;=2,파라미터!$B$11,0)+IF(K55&gt;=3,파라미터!$B$12,0))-파라미터!$B$15))*파라미터!$B$16-K55*파라미터!$B$7-MAX(0,파라미터!$B$19+파라미터!$B$20-MIN(파라미터!$B$15,파라미터!$B$5*(IF(K55&gt;=1,파라미터!$B$10,0)+IF(K55&gt;=2,파라미터!$B$11,0)+IF(K55&gt;=3,파라미터!$B$12,0))))-IF(MOD($A55-1,파라미터!$B$22)=0,파라미터!$B$21,0)</f>
        <v/>
      </c>
      <c r="M55" s="15">
        <f>MAX(0,M54+L55)</f>
        <v/>
      </c>
      <c r="N55" s="14">
        <f>IF(OR($A55&lt;파라미터!$B$6,MOD($A55,파라미터!$B$6)&gt;=10),0,INT((10-MOD($A55,파라미터!$B$6)-1)/파라미터!$B$6)+1)</f>
        <v/>
      </c>
      <c r="O55" s="15">
        <f>((N55*파라미터!$B$5-파라미터!$B$5*(IF(N55&gt;=1,파라미터!$B$10,0)+IF(N55&gt;=2,파라미터!$B$11,0)+IF(N55&gt;=3,파라미터!$B$12,0)))+MAX(0,파라미터!$B$5*(IF(N55&gt;=1,파라미터!$B$10,0)+IF(N55&gt;=2,파라미터!$B$11,0)+IF(N55&gt;=3,파라미터!$B$12,0))-파라미터!$B$15))*파라미터!$B$16-N55*파라미터!$B$7-MAX(0,파라미터!$B$19+파라미터!$B$20-MIN(파라미터!$B$15,파라미터!$B$5*(IF(N55&gt;=1,파라미터!$B$10,0)+IF(N55&gt;=2,파라미터!$B$11,0)+IF(N55&gt;=3,파라미터!$B$12,0))))-IF(MOD($A55-1,파라미터!$B$22)=0,파라미터!$B$21,0)</f>
        <v/>
      </c>
      <c r="P55" s="15">
        <f>MAX(0,P54+O55)</f>
        <v/>
      </c>
      <c r="Q55" s="14">
        <f>IF(OR($A55&lt;파라미터!$B$6,MOD($A55,파라미터!$B$6)&gt;=20),0,INT((20-MOD($A55,파라미터!$B$6)-1)/파라미터!$B$6)+1)</f>
        <v/>
      </c>
      <c r="R55" s="15">
        <f>((Q55*파라미터!$B$5-파라미터!$B$5*(IF(Q55&gt;=1,파라미터!$B$10,0)+IF(Q55&gt;=2,파라미터!$B$11,0)+IF(Q55&gt;=3,파라미터!$B$12,0)))+MAX(0,파라미터!$B$5*(IF(Q55&gt;=1,파라미터!$B$10,0)+IF(Q55&gt;=2,파라미터!$B$11,0)+IF(Q55&gt;=3,파라미터!$B$12,0))-파라미터!$B$15))*파라미터!$B$16-Q55*파라미터!$B$7-MAX(0,파라미터!$B$19+파라미터!$B$20-MIN(파라미터!$B$15,파라미터!$B$5*(IF(Q55&gt;=1,파라미터!$B$10,0)+IF(Q55&gt;=2,파라미터!$B$11,0)+IF(Q55&gt;=3,파라미터!$B$12,0))))-IF(MOD($A55-1,파라미터!$B$22)=0,파라미터!$B$21,0)</f>
        <v/>
      </c>
      <c r="S55" s="15">
        <f>MAX(0,S54+R55)</f>
        <v/>
      </c>
    </row>
    <row r="56">
      <c r="A56" s="13" t="n">
        <v>52</v>
      </c>
      <c r="B56" s="14">
        <f>IF(OR($A56&lt;파라미터!$B$6,MOD($A56,파라미터!$B$6)&gt;=1),0,INT((1-MOD($A56,파라미터!$B$6)-1)/파라미터!$B$6)+1)</f>
        <v/>
      </c>
      <c r="C56" s="15">
        <f>((B56*파라미터!$B$5-파라미터!$B$5*(IF(B56&gt;=1,파라미터!$B$10,0)+IF(B56&gt;=2,파라미터!$B$11,0)+IF(B56&gt;=3,파라미터!$B$12,0)))+MAX(0,파라미터!$B$5*(IF(B56&gt;=1,파라미터!$B$10,0)+IF(B56&gt;=2,파라미터!$B$11,0)+IF(B56&gt;=3,파라미터!$B$12,0))-파라미터!$B$15))*파라미터!$B$16-B56*파라미터!$B$7-MAX(0,파라미터!$B$19+파라미터!$B$20-MIN(파라미터!$B$15,파라미터!$B$5*(IF(B56&gt;=1,파라미터!$B$10,0)+IF(B56&gt;=2,파라미터!$B$11,0)+IF(B56&gt;=3,파라미터!$B$12,0))))-IF(MOD($A56-1,파라미터!$B$22)=0,파라미터!$B$21,0)</f>
        <v/>
      </c>
      <c r="D56" s="15">
        <f>MAX(0,D55+C56)</f>
        <v/>
      </c>
      <c r="E56" s="14">
        <f>IF(OR($A56&lt;파라미터!$B$6,MOD($A56,파라미터!$B$6)&gt;=2),0,INT((2-MOD($A56,파라미터!$B$6)-1)/파라미터!$B$6)+1)</f>
        <v/>
      </c>
      <c r="F56" s="15">
        <f>((E56*파라미터!$B$5-파라미터!$B$5*(IF(E56&gt;=1,파라미터!$B$10,0)+IF(E56&gt;=2,파라미터!$B$11,0)+IF(E56&gt;=3,파라미터!$B$12,0)))+MAX(0,파라미터!$B$5*(IF(E56&gt;=1,파라미터!$B$10,0)+IF(E56&gt;=2,파라미터!$B$11,0)+IF(E56&gt;=3,파라미터!$B$12,0))-파라미터!$B$15))*파라미터!$B$16-E56*파라미터!$B$7-MAX(0,파라미터!$B$19+파라미터!$B$20-MIN(파라미터!$B$15,파라미터!$B$5*(IF(E56&gt;=1,파라미터!$B$10,0)+IF(E56&gt;=2,파라미터!$B$11,0)+IF(E56&gt;=3,파라미터!$B$12,0))))-IF(MOD($A56-1,파라미터!$B$22)=0,파라미터!$B$21,0)</f>
        <v/>
      </c>
      <c r="G56" s="15">
        <f>MAX(0,G55+F56)</f>
        <v/>
      </c>
      <c r="H56" s="14">
        <f>IF(OR($A56&lt;파라미터!$B$6,MOD($A56,파라미터!$B$6)&gt;=3),0,INT((3-MOD($A56,파라미터!$B$6)-1)/파라미터!$B$6)+1)</f>
        <v/>
      </c>
      <c r="I56" s="15">
        <f>((H56*파라미터!$B$5-파라미터!$B$5*(IF(H56&gt;=1,파라미터!$B$10,0)+IF(H56&gt;=2,파라미터!$B$11,0)+IF(H56&gt;=3,파라미터!$B$12,0)))+MAX(0,파라미터!$B$5*(IF(H56&gt;=1,파라미터!$B$10,0)+IF(H56&gt;=2,파라미터!$B$11,0)+IF(H56&gt;=3,파라미터!$B$12,0))-파라미터!$B$15))*파라미터!$B$16-H56*파라미터!$B$7-MAX(0,파라미터!$B$19+파라미터!$B$20-MIN(파라미터!$B$15,파라미터!$B$5*(IF(H56&gt;=1,파라미터!$B$10,0)+IF(H56&gt;=2,파라미터!$B$11,0)+IF(H56&gt;=3,파라미터!$B$12,0))))-IF(MOD($A56-1,파라미터!$B$22)=0,파라미터!$B$21,0)</f>
        <v/>
      </c>
      <c r="J56" s="15">
        <f>MAX(0,J55+I56)</f>
        <v/>
      </c>
      <c r="K56" s="14">
        <f>IF(OR($A56&lt;파라미터!$B$6,MOD($A56,파라미터!$B$6)&gt;=5),0,INT((5-MOD($A56,파라미터!$B$6)-1)/파라미터!$B$6)+1)</f>
        <v/>
      </c>
      <c r="L56" s="15">
        <f>((K56*파라미터!$B$5-파라미터!$B$5*(IF(K56&gt;=1,파라미터!$B$10,0)+IF(K56&gt;=2,파라미터!$B$11,0)+IF(K56&gt;=3,파라미터!$B$12,0)))+MAX(0,파라미터!$B$5*(IF(K56&gt;=1,파라미터!$B$10,0)+IF(K56&gt;=2,파라미터!$B$11,0)+IF(K56&gt;=3,파라미터!$B$12,0))-파라미터!$B$15))*파라미터!$B$16-K56*파라미터!$B$7-MAX(0,파라미터!$B$19+파라미터!$B$20-MIN(파라미터!$B$15,파라미터!$B$5*(IF(K56&gt;=1,파라미터!$B$10,0)+IF(K56&gt;=2,파라미터!$B$11,0)+IF(K56&gt;=3,파라미터!$B$12,0))))-IF(MOD($A56-1,파라미터!$B$22)=0,파라미터!$B$21,0)</f>
        <v/>
      </c>
      <c r="M56" s="15">
        <f>MAX(0,M55+L56)</f>
        <v/>
      </c>
      <c r="N56" s="14">
        <f>IF(OR($A56&lt;파라미터!$B$6,MOD($A56,파라미터!$B$6)&gt;=10),0,INT((10-MOD($A56,파라미터!$B$6)-1)/파라미터!$B$6)+1)</f>
        <v/>
      </c>
      <c r="O56" s="15">
        <f>((N56*파라미터!$B$5-파라미터!$B$5*(IF(N56&gt;=1,파라미터!$B$10,0)+IF(N56&gt;=2,파라미터!$B$11,0)+IF(N56&gt;=3,파라미터!$B$12,0)))+MAX(0,파라미터!$B$5*(IF(N56&gt;=1,파라미터!$B$10,0)+IF(N56&gt;=2,파라미터!$B$11,0)+IF(N56&gt;=3,파라미터!$B$12,0))-파라미터!$B$15))*파라미터!$B$16-N56*파라미터!$B$7-MAX(0,파라미터!$B$19+파라미터!$B$20-MIN(파라미터!$B$15,파라미터!$B$5*(IF(N56&gt;=1,파라미터!$B$10,0)+IF(N56&gt;=2,파라미터!$B$11,0)+IF(N56&gt;=3,파라미터!$B$12,0))))-IF(MOD($A56-1,파라미터!$B$22)=0,파라미터!$B$21,0)</f>
        <v/>
      </c>
      <c r="P56" s="15">
        <f>MAX(0,P55+O56)</f>
        <v/>
      </c>
      <c r="Q56" s="14">
        <f>IF(OR($A56&lt;파라미터!$B$6,MOD($A56,파라미터!$B$6)&gt;=20),0,INT((20-MOD($A56,파라미터!$B$6)-1)/파라미터!$B$6)+1)</f>
        <v/>
      </c>
      <c r="R56" s="15">
        <f>((Q56*파라미터!$B$5-파라미터!$B$5*(IF(Q56&gt;=1,파라미터!$B$10,0)+IF(Q56&gt;=2,파라미터!$B$11,0)+IF(Q56&gt;=3,파라미터!$B$12,0)))+MAX(0,파라미터!$B$5*(IF(Q56&gt;=1,파라미터!$B$10,0)+IF(Q56&gt;=2,파라미터!$B$11,0)+IF(Q56&gt;=3,파라미터!$B$12,0))-파라미터!$B$15))*파라미터!$B$16-Q56*파라미터!$B$7-MAX(0,파라미터!$B$19+파라미터!$B$20-MIN(파라미터!$B$15,파라미터!$B$5*(IF(Q56&gt;=1,파라미터!$B$10,0)+IF(Q56&gt;=2,파라미터!$B$11,0)+IF(Q56&gt;=3,파라미터!$B$12,0))))-IF(MOD($A56-1,파라미터!$B$22)=0,파라미터!$B$21,0)</f>
        <v/>
      </c>
      <c r="S56" s="15">
        <f>MAX(0,S55+R56)</f>
        <v/>
      </c>
    </row>
    <row r="57">
      <c r="A57" s="13" t="n">
        <v>53</v>
      </c>
      <c r="B57" s="14">
        <f>IF(OR($A57&lt;파라미터!$B$6,MOD($A57,파라미터!$B$6)&gt;=1),0,INT((1-MOD($A57,파라미터!$B$6)-1)/파라미터!$B$6)+1)</f>
        <v/>
      </c>
      <c r="C57" s="15">
        <f>((B57*파라미터!$B$5-파라미터!$B$5*(IF(B57&gt;=1,파라미터!$B$10,0)+IF(B57&gt;=2,파라미터!$B$11,0)+IF(B57&gt;=3,파라미터!$B$12,0)))+MAX(0,파라미터!$B$5*(IF(B57&gt;=1,파라미터!$B$10,0)+IF(B57&gt;=2,파라미터!$B$11,0)+IF(B57&gt;=3,파라미터!$B$12,0))-파라미터!$B$15))*파라미터!$B$16-B57*파라미터!$B$7-MAX(0,파라미터!$B$19+파라미터!$B$20-MIN(파라미터!$B$15,파라미터!$B$5*(IF(B57&gt;=1,파라미터!$B$10,0)+IF(B57&gt;=2,파라미터!$B$11,0)+IF(B57&gt;=3,파라미터!$B$12,0))))-IF(MOD($A57-1,파라미터!$B$22)=0,파라미터!$B$21,0)</f>
        <v/>
      </c>
      <c r="D57" s="15">
        <f>MAX(0,D56+C57)</f>
        <v/>
      </c>
      <c r="E57" s="14">
        <f>IF(OR($A57&lt;파라미터!$B$6,MOD($A57,파라미터!$B$6)&gt;=2),0,INT((2-MOD($A57,파라미터!$B$6)-1)/파라미터!$B$6)+1)</f>
        <v/>
      </c>
      <c r="F57" s="15">
        <f>((E57*파라미터!$B$5-파라미터!$B$5*(IF(E57&gt;=1,파라미터!$B$10,0)+IF(E57&gt;=2,파라미터!$B$11,0)+IF(E57&gt;=3,파라미터!$B$12,0)))+MAX(0,파라미터!$B$5*(IF(E57&gt;=1,파라미터!$B$10,0)+IF(E57&gt;=2,파라미터!$B$11,0)+IF(E57&gt;=3,파라미터!$B$12,0))-파라미터!$B$15))*파라미터!$B$16-E57*파라미터!$B$7-MAX(0,파라미터!$B$19+파라미터!$B$20-MIN(파라미터!$B$15,파라미터!$B$5*(IF(E57&gt;=1,파라미터!$B$10,0)+IF(E57&gt;=2,파라미터!$B$11,0)+IF(E57&gt;=3,파라미터!$B$12,0))))-IF(MOD($A57-1,파라미터!$B$22)=0,파라미터!$B$21,0)</f>
        <v/>
      </c>
      <c r="G57" s="15">
        <f>MAX(0,G56+F57)</f>
        <v/>
      </c>
      <c r="H57" s="14">
        <f>IF(OR($A57&lt;파라미터!$B$6,MOD($A57,파라미터!$B$6)&gt;=3),0,INT((3-MOD($A57,파라미터!$B$6)-1)/파라미터!$B$6)+1)</f>
        <v/>
      </c>
      <c r="I57" s="15">
        <f>((H57*파라미터!$B$5-파라미터!$B$5*(IF(H57&gt;=1,파라미터!$B$10,0)+IF(H57&gt;=2,파라미터!$B$11,0)+IF(H57&gt;=3,파라미터!$B$12,0)))+MAX(0,파라미터!$B$5*(IF(H57&gt;=1,파라미터!$B$10,0)+IF(H57&gt;=2,파라미터!$B$11,0)+IF(H57&gt;=3,파라미터!$B$12,0))-파라미터!$B$15))*파라미터!$B$16-H57*파라미터!$B$7-MAX(0,파라미터!$B$19+파라미터!$B$20-MIN(파라미터!$B$15,파라미터!$B$5*(IF(H57&gt;=1,파라미터!$B$10,0)+IF(H57&gt;=2,파라미터!$B$11,0)+IF(H57&gt;=3,파라미터!$B$12,0))))-IF(MOD($A57-1,파라미터!$B$22)=0,파라미터!$B$21,0)</f>
        <v/>
      </c>
      <c r="J57" s="15">
        <f>MAX(0,J56+I57)</f>
        <v/>
      </c>
      <c r="K57" s="14">
        <f>IF(OR($A57&lt;파라미터!$B$6,MOD($A57,파라미터!$B$6)&gt;=5),0,INT((5-MOD($A57,파라미터!$B$6)-1)/파라미터!$B$6)+1)</f>
        <v/>
      </c>
      <c r="L57" s="15">
        <f>((K57*파라미터!$B$5-파라미터!$B$5*(IF(K57&gt;=1,파라미터!$B$10,0)+IF(K57&gt;=2,파라미터!$B$11,0)+IF(K57&gt;=3,파라미터!$B$12,0)))+MAX(0,파라미터!$B$5*(IF(K57&gt;=1,파라미터!$B$10,0)+IF(K57&gt;=2,파라미터!$B$11,0)+IF(K57&gt;=3,파라미터!$B$12,0))-파라미터!$B$15))*파라미터!$B$16-K57*파라미터!$B$7-MAX(0,파라미터!$B$19+파라미터!$B$20-MIN(파라미터!$B$15,파라미터!$B$5*(IF(K57&gt;=1,파라미터!$B$10,0)+IF(K57&gt;=2,파라미터!$B$11,0)+IF(K57&gt;=3,파라미터!$B$12,0))))-IF(MOD($A57-1,파라미터!$B$22)=0,파라미터!$B$21,0)</f>
        <v/>
      </c>
      <c r="M57" s="15">
        <f>MAX(0,M56+L57)</f>
        <v/>
      </c>
      <c r="N57" s="14">
        <f>IF(OR($A57&lt;파라미터!$B$6,MOD($A57,파라미터!$B$6)&gt;=10),0,INT((10-MOD($A57,파라미터!$B$6)-1)/파라미터!$B$6)+1)</f>
        <v/>
      </c>
      <c r="O57" s="15">
        <f>((N57*파라미터!$B$5-파라미터!$B$5*(IF(N57&gt;=1,파라미터!$B$10,0)+IF(N57&gt;=2,파라미터!$B$11,0)+IF(N57&gt;=3,파라미터!$B$12,0)))+MAX(0,파라미터!$B$5*(IF(N57&gt;=1,파라미터!$B$10,0)+IF(N57&gt;=2,파라미터!$B$11,0)+IF(N57&gt;=3,파라미터!$B$12,0))-파라미터!$B$15))*파라미터!$B$16-N57*파라미터!$B$7-MAX(0,파라미터!$B$19+파라미터!$B$20-MIN(파라미터!$B$15,파라미터!$B$5*(IF(N57&gt;=1,파라미터!$B$10,0)+IF(N57&gt;=2,파라미터!$B$11,0)+IF(N57&gt;=3,파라미터!$B$12,0))))-IF(MOD($A57-1,파라미터!$B$22)=0,파라미터!$B$21,0)</f>
        <v/>
      </c>
      <c r="P57" s="15">
        <f>MAX(0,P56+O57)</f>
        <v/>
      </c>
      <c r="Q57" s="14">
        <f>IF(OR($A57&lt;파라미터!$B$6,MOD($A57,파라미터!$B$6)&gt;=20),0,INT((20-MOD($A57,파라미터!$B$6)-1)/파라미터!$B$6)+1)</f>
        <v/>
      </c>
      <c r="R57" s="15">
        <f>((Q57*파라미터!$B$5-파라미터!$B$5*(IF(Q57&gt;=1,파라미터!$B$10,0)+IF(Q57&gt;=2,파라미터!$B$11,0)+IF(Q57&gt;=3,파라미터!$B$12,0)))+MAX(0,파라미터!$B$5*(IF(Q57&gt;=1,파라미터!$B$10,0)+IF(Q57&gt;=2,파라미터!$B$11,0)+IF(Q57&gt;=3,파라미터!$B$12,0))-파라미터!$B$15))*파라미터!$B$16-Q57*파라미터!$B$7-MAX(0,파라미터!$B$19+파라미터!$B$20-MIN(파라미터!$B$15,파라미터!$B$5*(IF(Q57&gt;=1,파라미터!$B$10,0)+IF(Q57&gt;=2,파라미터!$B$11,0)+IF(Q57&gt;=3,파라미터!$B$12,0))))-IF(MOD($A57-1,파라미터!$B$22)=0,파라미터!$B$21,0)</f>
        <v/>
      </c>
      <c r="S57" s="15">
        <f>MAX(0,S56+R57)</f>
        <v/>
      </c>
    </row>
    <row r="58">
      <c r="A58" s="13" t="n">
        <v>54</v>
      </c>
      <c r="B58" s="14">
        <f>IF(OR($A58&lt;파라미터!$B$6,MOD($A58,파라미터!$B$6)&gt;=1),0,INT((1-MOD($A58,파라미터!$B$6)-1)/파라미터!$B$6)+1)</f>
        <v/>
      </c>
      <c r="C58" s="15">
        <f>((B58*파라미터!$B$5-파라미터!$B$5*(IF(B58&gt;=1,파라미터!$B$10,0)+IF(B58&gt;=2,파라미터!$B$11,0)+IF(B58&gt;=3,파라미터!$B$12,0)))+MAX(0,파라미터!$B$5*(IF(B58&gt;=1,파라미터!$B$10,0)+IF(B58&gt;=2,파라미터!$B$11,0)+IF(B58&gt;=3,파라미터!$B$12,0))-파라미터!$B$15))*파라미터!$B$16-B58*파라미터!$B$7-MAX(0,파라미터!$B$19+파라미터!$B$20-MIN(파라미터!$B$15,파라미터!$B$5*(IF(B58&gt;=1,파라미터!$B$10,0)+IF(B58&gt;=2,파라미터!$B$11,0)+IF(B58&gt;=3,파라미터!$B$12,0))))-IF(MOD($A58-1,파라미터!$B$22)=0,파라미터!$B$21,0)</f>
        <v/>
      </c>
      <c r="D58" s="15">
        <f>MAX(0,D57+C58)</f>
        <v/>
      </c>
      <c r="E58" s="14">
        <f>IF(OR($A58&lt;파라미터!$B$6,MOD($A58,파라미터!$B$6)&gt;=2),0,INT((2-MOD($A58,파라미터!$B$6)-1)/파라미터!$B$6)+1)</f>
        <v/>
      </c>
      <c r="F58" s="15">
        <f>((E58*파라미터!$B$5-파라미터!$B$5*(IF(E58&gt;=1,파라미터!$B$10,0)+IF(E58&gt;=2,파라미터!$B$11,0)+IF(E58&gt;=3,파라미터!$B$12,0)))+MAX(0,파라미터!$B$5*(IF(E58&gt;=1,파라미터!$B$10,0)+IF(E58&gt;=2,파라미터!$B$11,0)+IF(E58&gt;=3,파라미터!$B$12,0))-파라미터!$B$15))*파라미터!$B$16-E58*파라미터!$B$7-MAX(0,파라미터!$B$19+파라미터!$B$20-MIN(파라미터!$B$15,파라미터!$B$5*(IF(E58&gt;=1,파라미터!$B$10,0)+IF(E58&gt;=2,파라미터!$B$11,0)+IF(E58&gt;=3,파라미터!$B$12,0))))-IF(MOD($A58-1,파라미터!$B$22)=0,파라미터!$B$21,0)</f>
        <v/>
      </c>
      <c r="G58" s="15">
        <f>MAX(0,G57+F58)</f>
        <v/>
      </c>
      <c r="H58" s="14">
        <f>IF(OR($A58&lt;파라미터!$B$6,MOD($A58,파라미터!$B$6)&gt;=3),0,INT((3-MOD($A58,파라미터!$B$6)-1)/파라미터!$B$6)+1)</f>
        <v/>
      </c>
      <c r="I58" s="15">
        <f>((H58*파라미터!$B$5-파라미터!$B$5*(IF(H58&gt;=1,파라미터!$B$10,0)+IF(H58&gt;=2,파라미터!$B$11,0)+IF(H58&gt;=3,파라미터!$B$12,0)))+MAX(0,파라미터!$B$5*(IF(H58&gt;=1,파라미터!$B$10,0)+IF(H58&gt;=2,파라미터!$B$11,0)+IF(H58&gt;=3,파라미터!$B$12,0))-파라미터!$B$15))*파라미터!$B$16-H58*파라미터!$B$7-MAX(0,파라미터!$B$19+파라미터!$B$20-MIN(파라미터!$B$15,파라미터!$B$5*(IF(H58&gt;=1,파라미터!$B$10,0)+IF(H58&gt;=2,파라미터!$B$11,0)+IF(H58&gt;=3,파라미터!$B$12,0))))-IF(MOD($A58-1,파라미터!$B$22)=0,파라미터!$B$21,0)</f>
        <v/>
      </c>
      <c r="J58" s="15">
        <f>MAX(0,J57+I58)</f>
        <v/>
      </c>
      <c r="K58" s="14">
        <f>IF(OR($A58&lt;파라미터!$B$6,MOD($A58,파라미터!$B$6)&gt;=5),0,INT((5-MOD($A58,파라미터!$B$6)-1)/파라미터!$B$6)+1)</f>
        <v/>
      </c>
      <c r="L58" s="15">
        <f>((K58*파라미터!$B$5-파라미터!$B$5*(IF(K58&gt;=1,파라미터!$B$10,0)+IF(K58&gt;=2,파라미터!$B$11,0)+IF(K58&gt;=3,파라미터!$B$12,0)))+MAX(0,파라미터!$B$5*(IF(K58&gt;=1,파라미터!$B$10,0)+IF(K58&gt;=2,파라미터!$B$11,0)+IF(K58&gt;=3,파라미터!$B$12,0))-파라미터!$B$15))*파라미터!$B$16-K58*파라미터!$B$7-MAX(0,파라미터!$B$19+파라미터!$B$20-MIN(파라미터!$B$15,파라미터!$B$5*(IF(K58&gt;=1,파라미터!$B$10,0)+IF(K58&gt;=2,파라미터!$B$11,0)+IF(K58&gt;=3,파라미터!$B$12,0))))-IF(MOD($A58-1,파라미터!$B$22)=0,파라미터!$B$21,0)</f>
        <v/>
      </c>
      <c r="M58" s="15">
        <f>MAX(0,M57+L58)</f>
        <v/>
      </c>
      <c r="N58" s="14">
        <f>IF(OR($A58&lt;파라미터!$B$6,MOD($A58,파라미터!$B$6)&gt;=10),0,INT((10-MOD($A58,파라미터!$B$6)-1)/파라미터!$B$6)+1)</f>
        <v/>
      </c>
      <c r="O58" s="15">
        <f>((N58*파라미터!$B$5-파라미터!$B$5*(IF(N58&gt;=1,파라미터!$B$10,0)+IF(N58&gt;=2,파라미터!$B$11,0)+IF(N58&gt;=3,파라미터!$B$12,0)))+MAX(0,파라미터!$B$5*(IF(N58&gt;=1,파라미터!$B$10,0)+IF(N58&gt;=2,파라미터!$B$11,0)+IF(N58&gt;=3,파라미터!$B$12,0))-파라미터!$B$15))*파라미터!$B$16-N58*파라미터!$B$7-MAX(0,파라미터!$B$19+파라미터!$B$20-MIN(파라미터!$B$15,파라미터!$B$5*(IF(N58&gt;=1,파라미터!$B$10,0)+IF(N58&gt;=2,파라미터!$B$11,0)+IF(N58&gt;=3,파라미터!$B$12,0))))-IF(MOD($A58-1,파라미터!$B$22)=0,파라미터!$B$21,0)</f>
        <v/>
      </c>
      <c r="P58" s="15">
        <f>MAX(0,P57+O58)</f>
        <v/>
      </c>
      <c r="Q58" s="14">
        <f>IF(OR($A58&lt;파라미터!$B$6,MOD($A58,파라미터!$B$6)&gt;=20),0,INT((20-MOD($A58,파라미터!$B$6)-1)/파라미터!$B$6)+1)</f>
        <v/>
      </c>
      <c r="R58" s="15">
        <f>((Q58*파라미터!$B$5-파라미터!$B$5*(IF(Q58&gt;=1,파라미터!$B$10,0)+IF(Q58&gt;=2,파라미터!$B$11,0)+IF(Q58&gt;=3,파라미터!$B$12,0)))+MAX(0,파라미터!$B$5*(IF(Q58&gt;=1,파라미터!$B$10,0)+IF(Q58&gt;=2,파라미터!$B$11,0)+IF(Q58&gt;=3,파라미터!$B$12,0))-파라미터!$B$15))*파라미터!$B$16-Q58*파라미터!$B$7-MAX(0,파라미터!$B$19+파라미터!$B$20-MIN(파라미터!$B$15,파라미터!$B$5*(IF(Q58&gt;=1,파라미터!$B$10,0)+IF(Q58&gt;=2,파라미터!$B$11,0)+IF(Q58&gt;=3,파라미터!$B$12,0))))-IF(MOD($A58-1,파라미터!$B$22)=0,파라미터!$B$21,0)</f>
        <v/>
      </c>
      <c r="S58" s="15">
        <f>MAX(0,S57+R58)</f>
        <v/>
      </c>
    </row>
    <row r="59">
      <c r="A59" s="13" t="n">
        <v>55</v>
      </c>
      <c r="B59" s="14">
        <f>IF(OR($A59&lt;파라미터!$B$6,MOD($A59,파라미터!$B$6)&gt;=1),0,INT((1-MOD($A59,파라미터!$B$6)-1)/파라미터!$B$6)+1)</f>
        <v/>
      </c>
      <c r="C59" s="15">
        <f>((B59*파라미터!$B$5-파라미터!$B$5*(IF(B59&gt;=1,파라미터!$B$10,0)+IF(B59&gt;=2,파라미터!$B$11,0)+IF(B59&gt;=3,파라미터!$B$12,0)))+MAX(0,파라미터!$B$5*(IF(B59&gt;=1,파라미터!$B$10,0)+IF(B59&gt;=2,파라미터!$B$11,0)+IF(B59&gt;=3,파라미터!$B$12,0))-파라미터!$B$15))*파라미터!$B$16-B59*파라미터!$B$7-MAX(0,파라미터!$B$19+파라미터!$B$20-MIN(파라미터!$B$15,파라미터!$B$5*(IF(B59&gt;=1,파라미터!$B$10,0)+IF(B59&gt;=2,파라미터!$B$11,0)+IF(B59&gt;=3,파라미터!$B$12,0))))-IF(MOD($A59-1,파라미터!$B$22)=0,파라미터!$B$21,0)</f>
        <v/>
      </c>
      <c r="D59" s="15">
        <f>MAX(0,D58+C59)</f>
        <v/>
      </c>
      <c r="E59" s="14">
        <f>IF(OR($A59&lt;파라미터!$B$6,MOD($A59,파라미터!$B$6)&gt;=2),0,INT((2-MOD($A59,파라미터!$B$6)-1)/파라미터!$B$6)+1)</f>
        <v/>
      </c>
      <c r="F59" s="15">
        <f>((E59*파라미터!$B$5-파라미터!$B$5*(IF(E59&gt;=1,파라미터!$B$10,0)+IF(E59&gt;=2,파라미터!$B$11,0)+IF(E59&gt;=3,파라미터!$B$12,0)))+MAX(0,파라미터!$B$5*(IF(E59&gt;=1,파라미터!$B$10,0)+IF(E59&gt;=2,파라미터!$B$11,0)+IF(E59&gt;=3,파라미터!$B$12,0))-파라미터!$B$15))*파라미터!$B$16-E59*파라미터!$B$7-MAX(0,파라미터!$B$19+파라미터!$B$20-MIN(파라미터!$B$15,파라미터!$B$5*(IF(E59&gt;=1,파라미터!$B$10,0)+IF(E59&gt;=2,파라미터!$B$11,0)+IF(E59&gt;=3,파라미터!$B$12,0))))-IF(MOD($A59-1,파라미터!$B$22)=0,파라미터!$B$21,0)</f>
        <v/>
      </c>
      <c r="G59" s="15">
        <f>MAX(0,G58+F59)</f>
        <v/>
      </c>
      <c r="H59" s="14">
        <f>IF(OR($A59&lt;파라미터!$B$6,MOD($A59,파라미터!$B$6)&gt;=3),0,INT((3-MOD($A59,파라미터!$B$6)-1)/파라미터!$B$6)+1)</f>
        <v/>
      </c>
      <c r="I59" s="15">
        <f>((H59*파라미터!$B$5-파라미터!$B$5*(IF(H59&gt;=1,파라미터!$B$10,0)+IF(H59&gt;=2,파라미터!$B$11,0)+IF(H59&gt;=3,파라미터!$B$12,0)))+MAX(0,파라미터!$B$5*(IF(H59&gt;=1,파라미터!$B$10,0)+IF(H59&gt;=2,파라미터!$B$11,0)+IF(H59&gt;=3,파라미터!$B$12,0))-파라미터!$B$15))*파라미터!$B$16-H59*파라미터!$B$7-MAX(0,파라미터!$B$19+파라미터!$B$20-MIN(파라미터!$B$15,파라미터!$B$5*(IF(H59&gt;=1,파라미터!$B$10,0)+IF(H59&gt;=2,파라미터!$B$11,0)+IF(H59&gt;=3,파라미터!$B$12,0))))-IF(MOD($A59-1,파라미터!$B$22)=0,파라미터!$B$21,0)</f>
        <v/>
      </c>
      <c r="J59" s="15">
        <f>MAX(0,J58+I59)</f>
        <v/>
      </c>
      <c r="K59" s="14">
        <f>IF(OR($A59&lt;파라미터!$B$6,MOD($A59,파라미터!$B$6)&gt;=5),0,INT((5-MOD($A59,파라미터!$B$6)-1)/파라미터!$B$6)+1)</f>
        <v/>
      </c>
      <c r="L59" s="15">
        <f>((K59*파라미터!$B$5-파라미터!$B$5*(IF(K59&gt;=1,파라미터!$B$10,0)+IF(K59&gt;=2,파라미터!$B$11,0)+IF(K59&gt;=3,파라미터!$B$12,0)))+MAX(0,파라미터!$B$5*(IF(K59&gt;=1,파라미터!$B$10,0)+IF(K59&gt;=2,파라미터!$B$11,0)+IF(K59&gt;=3,파라미터!$B$12,0))-파라미터!$B$15))*파라미터!$B$16-K59*파라미터!$B$7-MAX(0,파라미터!$B$19+파라미터!$B$20-MIN(파라미터!$B$15,파라미터!$B$5*(IF(K59&gt;=1,파라미터!$B$10,0)+IF(K59&gt;=2,파라미터!$B$11,0)+IF(K59&gt;=3,파라미터!$B$12,0))))-IF(MOD($A59-1,파라미터!$B$22)=0,파라미터!$B$21,0)</f>
        <v/>
      </c>
      <c r="M59" s="15">
        <f>MAX(0,M58+L59)</f>
        <v/>
      </c>
      <c r="N59" s="14">
        <f>IF(OR($A59&lt;파라미터!$B$6,MOD($A59,파라미터!$B$6)&gt;=10),0,INT((10-MOD($A59,파라미터!$B$6)-1)/파라미터!$B$6)+1)</f>
        <v/>
      </c>
      <c r="O59" s="15">
        <f>((N59*파라미터!$B$5-파라미터!$B$5*(IF(N59&gt;=1,파라미터!$B$10,0)+IF(N59&gt;=2,파라미터!$B$11,0)+IF(N59&gt;=3,파라미터!$B$12,0)))+MAX(0,파라미터!$B$5*(IF(N59&gt;=1,파라미터!$B$10,0)+IF(N59&gt;=2,파라미터!$B$11,0)+IF(N59&gt;=3,파라미터!$B$12,0))-파라미터!$B$15))*파라미터!$B$16-N59*파라미터!$B$7-MAX(0,파라미터!$B$19+파라미터!$B$20-MIN(파라미터!$B$15,파라미터!$B$5*(IF(N59&gt;=1,파라미터!$B$10,0)+IF(N59&gt;=2,파라미터!$B$11,0)+IF(N59&gt;=3,파라미터!$B$12,0))))-IF(MOD($A59-1,파라미터!$B$22)=0,파라미터!$B$21,0)</f>
        <v/>
      </c>
      <c r="P59" s="15">
        <f>MAX(0,P58+O59)</f>
        <v/>
      </c>
      <c r="Q59" s="14">
        <f>IF(OR($A59&lt;파라미터!$B$6,MOD($A59,파라미터!$B$6)&gt;=20),0,INT((20-MOD($A59,파라미터!$B$6)-1)/파라미터!$B$6)+1)</f>
        <v/>
      </c>
      <c r="R59" s="15">
        <f>((Q59*파라미터!$B$5-파라미터!$B$5*(IF(Q59&gt;=1,파라미터!$B$10,0)+IF(Q59&gt;=2,파라미터!$B$11,0)+IF(Q59&gt;=3,파라미터!$B$12,0)))+MAX(0,파라미터!$B$5*(IF(Q59&gt;=1,파라미터!$B$10,0)+IF(Q59&gt;=2,파라미터!$B$11,0)+IF(Q59&gt;=3,파라미터!$B$12,0))-파라미터!$B$15))*파라미터!$B$16-Q59*파라미터!$B$7-MAX(0,파라미터!$B$19+파라미터!$B$20-MIN(파라미터!$B$15,파라미터!$B$5*(IF(Q59&gt;=1,파라미터!$B$10,0)+IF(Q59&gt;=2,파라미터!$B$11,0)+IF(Q59&gt;=3,파라미터!$B$12,0))))-IF(MOD($A59-1,파라미터!$B$22)=0,파라미터!$B$21,0)</f>
        <v/>
      </c>
      <c r="S59" s="15">
        <f>MAX(0,S58+R59)</f>
        <v/>
      </c>
    </row>
    <row r="60">
      <c r="A60" s="13" t="n">
        <v>56</v>
      </c>
      <c r="B60" s="14">
        <f>IF(OR($A60&lt;파라미터!$B$6,MOD($A60,파라미터!$B$6)&gt;=1),0,INT((1-MOD($A60,파라미터!$B$6)-1)/파라미터!$B$6)+1)</f>
        <v/>
      </c>
      <c r="C60" s="15">
        <f>((B60*파라미터!$B$5-파라미터!$B$5*(IF(B60&gt;=1,파라미터!$B$10,0)+IF(B60&gt;=2,파라미터!$B$11,0)+IF(B60&gt;=3,파라미터!$B$12,0)))+MAX(0,파라미터!$B$5*(IF(B60&gt;=1,파라미터!$B$10,0)+IF(B60&gt;=2,파라미터!$B$11,0)+IF(B60&gt;=3,파라미터!$B$12,0))-파라미터!$B$15))*파라미터!$B$16-B60*파라미터!$B$7-MAX(0,파라미터!$B$19+파라미터!$B$20-MIN(파라미터!$B$15,파라미터!$B$5*(IF(B60&gt;=1,파라미터!$B$10,0)+IF(B60&gt;=2,파라미터!$B$11,0)+IF(B60&gt;=3,파라미터!$B$12,0))))-IF(MOD($A60-1,파라미터!$B$22)=0,파라미터!$B$21,0)</f>
        <v/>
      </c>
      <c r="D60" s="15">
        <f>MAX(0,D59+C60)</f>
        <v/>
      </c>
      <c r="E60" s="14">
        <f>IF(OR($A60&lt;파라미터!$B$6,MOD($A60,파라미터!$B$6)&gt;=2),0,INT((2-MOD($A60,파라미터!$B$6)-1)/파라미터!$B$6)+1)</f>
        <v/>
      </c>
      <c r="F60" s="15">
        <f>((E60*파라미터!$B$5-파라미터!$B$5*(IF(E60&gt;=1,파라미터!$B$10,0)+IF(E60&gt;=2,파라미터!$B$11,0)+IF(E60&gt;=3,파라미터!$B$12,0)))+MAX(0,파라미터!$B$5*(IF(E60&gt;=1,파라미터!$B$10,0)+IF(E60&gt;=2,파라미터!$B$11,0)+IF(E60&gt;=3,파라미터!$B$12,0))-파라미터!$B$15))*파라미터!$B$16-E60*파라미터!$B$7-MAX(0,파라미터!$B$19+파라미터!$B$20-MIN(파라미터!$B$15,파라미터!$B$5*(IF(E60&gt;=1,파라미터!$B$10,0)+IF(E60&gt;=2,파라미터!$B$11,0)+IF(E60&gt;=3,파라미터!$B$12,0))))-IF(MOD($A60-1,파라미터!$B$22)=0,파라미터!$B$21,0)</f>
        <v/>
      </c>
      <c r="G60" s="15">
        <f>MAX(0,G59+F60)</f>
        <v/>
      </c>
      <c r="H60" s="14">
        <f>IF(OR($A60&lt;파라미터!$B$6,MOD($A60,파라미터!$B$6)&gt;=3),0,INT((3-MOD($A60,파라미터!$B$6)-1)/파라미터!$B$6)+1)</f>
        <v/>
      </c>
      <c r="I60" s="15">
        <f>((H60*파라미터!$B$5-파라미터!$B$5*(IF(H60&gt;=1,파라미터!$B$10,0)+IF(H60&gt;=2,파라미터!$B$11,0)+IF(H60&gt;=3,파라미터!$B$12,0)))+MAX(0,파라미터!$B$5*(IF(H60&gt;=1,파라미터!$B$10,0)+IF(H60&gt;=2,파라미터!$B$11,0)+IF(H60&gt;=3,파라미터!$B$12,0))-파라미터!$B$15))*파라미터!$B$16-H60*파라미터!$B$7-MAX(0,파라미터!$B$19+파라미터!$B$20-MIN(파라미터!$B$15,파라미터!$B$5*(IF(H60&gt;=1,파라미터!$B$10,0)+IF(H60&gt;=2,파라미터!$B$11,0)+IF(H60&gt;=3,파라미터!$B$12,0))))-IF(MOD($A60-1,파라미터!$B$22)=0,파라미터!$B$21,0)</f>
        <v/>
      </c>
      <c r="J60" s="15">
        <f>MAX(0,J59+I60)</f>
        <v/>
      </c>
      <c r="K60" s="14">
        <f>IF(OR($A60&lt;파라미터!$B$6,MOD($A60,파라미터!$B$6)&gt;=5),0,INT((5-MOD($A60,파라미터!$B$6)-1)/파라미터!$B$6)+1)</f>
        <v/>
      </c>
      <c r="L60" s="15">
        <f>((K60*파라미터!$B$5-파라미터!$B$5*(IF(K60&gt;=1,파라미터!$B$10,0)+IF(K60&gt;=2,파라미터!$B$11,0)+IF(K60&gt;=3,파라미터!$B$12,0)))+MAX(0,파라미터!$B$5*(IF(K60&gt;=1,파라미터!$B$10,0)+IF(K60&gt;=2,파라미터!$B$11,0)+IF(K60&gt;=3,파라미터!$B$12,0))-파라미터!$B$15))*파라미터!$B$16-K60*파라미터!$B$7-MAX(0,파라미터!$B$19+파라미터!$B$20-MIN(파라미터!$B$15,파라미터!$B$5*(IF(K60&gt;=1,파라미터!$B$10,0)+IF(K60&gt;=2,파라미터!$B$11,0)+IF(K60&gt;=3,파라미터!$B$12,0))))-IF(MOD($A60-1,파라미터!$B$22)=0,파라미터!$B$21,0)</f>
        <v/>
      </c>
      <c r="M60" s="15">
        <f>MAX(0,M59+L60)</f>
        <v/>
      </c>
      <c r="N60" s="14">
        <f>IF(OR($A60&lt;파라미터!$B$6,MOD($A60,파라미터!$B$6)&gt;=10),0,INT((10-MOD($A60,파라미터!$B$6)-1)/파라미터!$B$6)+1)</f>
        <v/>
      </c>
      <c r="O60" s="15">
        <f>((N60*파라미터!$B$5-파라미터!$B$5*(IF(N60&gt;=1,파라미터!$B$10,0)+IF(N60&gt;=2,파라미터!$B$11,0)+IF(N60&gt;=3,파라미터!$B$12,0)))+MAX(0,파라미터!$B$5*(IF(N60&gt;=1,파라미터!$B$10,0)+IF(N60&gt;=2,파라미터!$B$11,0)+IF(N60&gt;=3,파라미터!$B$12,0))-파라미터!$B$15))*파라미터!$B$16-N60*파라미터!$B$7-MAX(0,파라미터!$B$19+파라미터!$B$20-MIN(파라미터!$B$15,파라미터!$B$5*(IF(N60&gt;=1,파라미터!$B$10,0)+IF(N60&gt;=2,파라미터!$B$11,0)+IF(N60&gt;=3,파라미터!$B$12,0))))-IF(MOD($A60-1,파라미터!$B$22)=0,파라미터!$B$21,0)</f>
        <v/>
      </c>
      <c r="P60" s="15">
        <f>MAX(0,P59+O60)</f>
        <v/>
      </c>
      <c r="Q60" s="14">
        <f>IF(OR($A60&lt;파라미터!$B$6,MOD($A60,파라미터!$B$6)&gt;=20),0,INT((20-MOD($A60,파라미터!$B$6)-1)/파라미터!$B$6)+1)</f>
        <v/>
      </c>
      <c r="R60" s="15">
        <f>((Q60*파라미터!$B$5-파라미터!$B$5*(IF(Q60&gt;=1,파라미터!$B$10,0)+IF(Q60&gt;=2,파라미터!$B$11,0)+IF(Q60&gt;=3,파라미터!$B$12,0)))+MAX(0,파라미터!$B$5*(IF(Q60&gt;=1,파라미터!$B$10,0)+IF(Q60&gt;=2,파라미터!$B$11,0)+IF(Q60&gt;=3,파라미터!$B$12,0))-파라미터!$B$15))*파라미터!$B$16-Q60*파라미터!$B$7-MAX(0,파라미터!$B$19+파라미터!$B$20-MIN(파라미터!$B$15,파라미터!$B$5*(IF(Q60&gt;=1,파라미터!$B$10,0)+IF(Q60&gt;=2,파라미터!$B$11,0)+IF(Q60&gt;=3,파라미터!$B$12,0))))-IF(MOD($A60-1,파라미터!$B$22)=0,파라미터!$B$21,0)</f>
        <v/>
      </c>
      <c r="S60" s="15">
        <f>MAX(0,S59+R60)</f>
        <v/>
      </c>
    </row>
    <row r="61">
      <c r="A61" s="13" t="n">
        <v>57</v>
      </c>
      <c r="B61" s="14">
        <f>IF(OR($A61&lt;파라미터!$B$6,MOD($A61,파라미터!$B$6)&gt;=1),0,INT((1-MOD($A61,파라미터!$B$6)-1)/파라미터!$B$6)+1)</f>
        <v/>
      </c>
      <c r="C61" s="15">
        <f>((B61*파라미터!$B$5-파라미터!$B$5*(IF(B61&gt;=1,파라미터!$B$10,0)+IF(B61&gt;=2,파라미터!$B$11,0)+IF(B61&gt;=3,파라미터!$B$12,0)))+MAX(0,파라미터!$B$5*(IF(B61&gt;=1,파라미터!$B$10,0)+IF(B61&gt;=2,파라미터!$B$11,0)+IF(B61&gt;=3,파라미터!$B$12,0))-파라미터!$B$15))*파라미터!$B$16-B61*파라미터!$B$7-MAX(0,파라미터!$B$19+파라미터!$B$20-MIN(파라미터!$B$15,파라미터!$B$5*(IF(B61&gt;=1,파라미터!$B$10,0)+IF(B61&gt;=2,파라미터!$B$11,0)+IF(B61&gt;=3,파라미터!$B$12,0))))-IF(MOD($A61-1,파라미터!$B$22)=0,파라미터!$B$21,0)</f>
        <v/>
      </c>
      <c r="D61" s="15">
        <f>MAX(0,D60+C61)</f>
        <v/>
      </c>
      <c r="E61" s="14">
        <f>IF(OR($A61&lt;파라미터!$B$6,MOD($A61,파라미터!$B$6)&gt;=2),0,INT((2-MOD($A61,파라미터!$B$6)-1)/파라미터!$B$6)+1)</f>
        <v/>
      </c>
      <c r="F61" s="15">
        <f>((E61*파라미터!$B$5-파라미터!$B$5*(IF(E61&gt;=1,파라미터!$B$10,0)+IF(E61&gt;=2,파라미터!$B$11,0)+IF(E61&gt;=3,파라미터!$B$12,0)))+MAX(0,파라미터!$B$5*(IF(E61&gt;=1,파라미터!$B$10,0)+IF(E61&gt;=2,파라미터!$B$11,0)+IF(E61&gt;=3,파라미터!$B$12,0))-파라미터!$B$15))*파라미터!$B$16-E61*파라미터!$B$7-MAX(0,파라미터!$B$19+파라미터!$B$20-MIN(파라미터!$B$15,파라미터!$B$5*(IF(E61&gt;=1,파라미터!$B$10,0)+IF(E61&gt;=2,파라미터!$B$11,0)+IF(E61&gt;=3,파라미터!$B$12,0))))-IF(MOD($A61-1,파라미터!$B$22)=0,파라미터!$B$21,0)</f>
        <v/>
      </c>
      <c r="G61" s="15">
        <f>MAX(0,G60+F61)</f>
        <v/>
      </c>
      <c r="H61" s="14">
        <f>IF(OR($A61&lt;파라미터!$B$6,MOD($A61,파라미터!$B$6)&gt;=3),0,INT((3-MOD($A61,파라미터!$B$6)-1)/파라미터!$B$6)+1)</f>
        <v/>
      </c>
      <c r="I61" s="15">
        <f>((H61*파라미터!$B$5-파라미터!$B$5*(IF(H61&gt;=1,파라미터!$B$10,0)+IF(H61&gt;=2,파라미터!$B$11,0)+IF(H61&gt;=3,파라미터!$B$12,0)))+MAX(0,파라미터!$B$5*(IF(H61&gt;=1,파라미터!$B$10,0)+IF(H61&gt;=2,파라미터!$B$11,0)+IF(H61&gt;=3,파라미터!$B$12,0))-파라미터!$B$15))*파라미터!$B$16-H61*파라미터!$B$7-MAX(0,파라미터!$B$19+파라미터!$B$20-MIN(파라미터!$B$15,파라미터!$B$5*(IF(H61&gt;=1,파라미터!$B$10,0)+IF(H61&gt;=2,파라미터!$B$11,0)+IF(H61&gt;=3,파라미터!$B$12,0))))-IF(MOD($A61-1,파라미터!$B$22)=0,파라미터!$B$21,0)</f>
        <v/>
      </c>
      <c r="J61" s="15">
        <f>MAX(0,J60+I61)</f>
        <v/>
      </c>
      <c r="K61" s="14">
        <f>IF(OR($A61&lt;파라미터!$B$6,MOD($A61,파라미터!$B$6)&gt;=5),0,INT((5-MOD($A61,파라미터!$B$6)-1)/파라미터!$B$6)+1)</f>
        <v/>
      </c>
      <c r="L61" s="15">
        <f>((K61*파라미터!$B$5-파라미터!$B$5*(IF(K61&gt;=1,파라미터!$B$10,0)+IF(K61&gt;=2,파라미터!$B$11,0)+IF(K61&gt;=3,파라미터!$B$12,0)))+MAX(0,파라미터!$B$5*(IF(K61&gt;=1,파라미터!$B$10,0)+IF(K61&gt;=2,파라미터!$B$11,0)+IF(K61&gt;=3,파라미터!$B$12,0))-파라미터!$B$15))*파라미터!$B$16-K61*파라미터!$B$7-MAX(0,파라미터!$B$19+파라미터!$B$20-MIN(파라미터!$B$15,파라미터!$B$5*(IF(K61&gt;=1,파라미터!$B$10,0)+IF(K61&gt;=2,파라미터!$B$11,0)+IF(K61&gt;=3,파라미터!$B$12,0))))-IF(MOD($A61-1,파라미터!$B$22)=0,파라미터!$B$21,0)</f>
        <v/>
      </c>
      <c r="M61" s="15">
        <f>MAX(0,M60+L61)</f>
        <v/>
      </c>
      <c r="N61" s="14">
        <f>IF(OR($A61&lt;파라미터!$B$6,MOD($A61,파라미터!$B$6)&gt;=10),0,INT((10-MOD($A61,파라미터!$B$6)-1)/파라미터!$B$6)+1)</f>
        <v/>
      </c>
      <c r="O61" s="15">
        <f>((N61*파라미터!$B$5-파라미터!$B$5*(IF(N61&gt;=1,파라미터!$B$10,0)+IF(N61&gt;=2,파라미터!$B$11,0)+IF(N61&gt;=3,파라미터!$B$12,0)))+MAX(0,파라미터!$B$5*(IF(N61&gt;=1,파라미터!$B$10,0)+IF(N61&gt;=2,파라미터!$B$11,0)+IF(N61&gt;=3,파라미터!$B$12,0))-파라미터!$B$15))*파라미터!$B$16-N61*파라미터!$B$7-MAX(0,파라미터!$B$19+파라미터!$B$20-MIN(파라미터!$B$15,파라미터!$B$5*(IF(N61&gt;=1,파라미터!$B$10,0)+IF(N61&gt;=2,파라미터!$B$11,0)+IF(N61&gt;=3,파라미터!$B$12,0))))-IF(MOD($A61-1,파라미터!$B$22)=0,파라미터!$B$21,0)</f>
        <v/>
      </c>
      <c r="P61" s="15">
        <f>MAX(0,P60+O61)</f>
        <v/>
      </c>
      <c r="Q61" s="14">
        <f>IF(OR($A61&lt;파라미터!$B$6,MOD($A61,파라미터!$B$6)&gt;=20),0,INT((20-MOD($A61,파라미터!$B$6)-1)/파라미터!$B$6)+1)</f>
        <v/>
      </c>
      <c r="R61" s="15">
        <f>((Q61*파라미터!$B$5-파라미터!$B$5*(IF(Q61&gt;=1,파라미터!$B$10,0)+IF(Q61&gt;=2,파라미터!$B$11,0)+IF(Q61&gt;=3,파라미터!$B$12,0)))+MAX(0,파라미터!$B$5*(IF(Q61&gt;=1,파라미터!$B$10,0)+IF(Q61&gt;=2,파라미터!$B$11,0)+IF(Q61&gt;=3,파라미터!$B$12,0))-파라미터!$B$15))*파라미터!$B$16-Q61*파라미터!$B$7-MAX(0,파라미터!$B$19+파라미터!$B$20-MIN(파라미터!$B$15,파라미터!$B$5*(IF(Q61&gt;=1,파라미터!$B$10,0)+IF(Q61&gt;=2,파라미터!$B$11,0)+IF(Q61&gt;=3,파라미터!$B$12,0))))-IF(MOD($A61-1,파라미터!$B$22)=0,파라미터!$B$21,0)</f>
        <v/>
      </c>
      <c r="S61" s="15">
        <f>MAX(0,S60+R61)</f>
        <v/>
      </c>
    </row>
    <row r="62">
      <c r="A62" s="13" t="n">
        <v>58</v>
      </c>
      <c r="B62" s="14">
        <f>IF(OR($A62&lt;파라미터!$B$6,MOD($A62,파라미터!$B$6)&gt;=1),0,INT((1-MOD($A62,파라미터!$B$6)-1)/파라미터!$B$6)+1)</f>
        <v/>
      </c>
      <c r="C62" s="15">
        <f>((B62*파라미터!$B$5-파라미터!$B$5*(IF(B62&gt;=1,파라미터!$B$10,0)+IF(B62&gt;=2,파라미터!$B$11,0)+IF(B62&gt;=3,파라미터!$B$12,0)))+MAX(0,파라미터!$B$5*(IF(B62&gt;=1,파라미터!$B$10,0)+IF(B62&gt;=2,파라미터!$B$11,0)+IF(B62&gt;=3,파라미터!$B$12,0))-파라미터!$B$15))*파라미터!$B$16-B62*파라미터!$B$7-MAX(0,파라미터!$B$19+파라미터!$B$20-MIN(파라미터!$B$15,파라미터!$B$5*(IF(B62&gt;=1,파라미터!$B$10,0)+IF(B62&gt;=2,파라미터!$B$11,0)+IF(B62&gt;=3,파라미터!$B$12,0))))-IF(MOD($A62-1,파라미터!$B$22)=0,파라미터!$B$21,0)</f>
        <v/>
      </c>
      <c r="D62" s="15">
        <f>MAX(0,D61+C62)</f>
        <v/>
      </c>
      <c r="E62" s="14">
        <f>IF(OR($A62&lt;파라미터!$B$6,MOD($A62,파라미터!$B$6)&gt;=2),0,INT((2-MOD($A62,파라미터!$B$6)-1)/파라미터!$B$6)+1)</f>
        <v/>
      </c>
      <c r="F62" s="15">
        <f>((E62*파라미터!$B$5-파라미터!$B$5*(IF(E62&gt;=1,파라미터!$B$10,0)+IF(E62&gt;=2,파라미터!$B$11,0)+IF(E62&gt;=3,파라미터!$B$12,0)))+MAX(0,파라미터!$B$5*(IF(E62&gt;=1,파라미터!$B$10,0)+IF(E62&gt;=2,파라미터!$B$11,0)+IF(E62&gt;=3,파라미터!$B$12,0))-파라미터!$B$15))*파라미터!$B$16-E62*파라미터!$B$7-MAX(0,파라미터!$B$19+파라미터!$B$20-MIN(파라미터!$B$15,파라미터!$B$5*(IF(E62&gt;=1,파라미터!$B$10,0)+IF(E62&gt;=2,파라미터!$B$11,0)+IF(E62&gt;=3,파라미터!$B$12,0))))-IF(MOD($A62-1,파라미터!$B$22)=0,파라미터!$B$21,0)</f>
        <v/>
      </c>
      <c r="G62" s="15">
        <f>MAX(0,G61+F62)</f>
        <v/>
      </c>
      <c r="H62" s="14">
        <f>IF(OR($A62&lt;파라미터!$B$6,MOD($A62,파라미터!$B$6)&gt;=3),0,INT((3-MOD($A62,파라미터!$B$6)-1)/파라미터!$B$6)+1)</f>
        <v/>
      </c>
      <c r="I62" s="15">
        <f>((H62*파라미터!$B$5-파라미터!$B$5*(IF(H62&gt;=1,파라미터!$B$10,0)+IF(H62&gt;=2,파라미터!$B$11,0)+IF(H62&gt;=3,파라미터!$B$12,0)))+MAX(0,파라미터!$B$5*(IF(H62&gt;=1,파라미터!$B$10,0)+IF(H62&gt;=2,파라미터!$B$11,0)+IF(H62&gt;=3,파라미터!$B$12,0))-파라미터!$B$15))*파라미터!$B$16-H62*파라미터!$B$7-MAX(0,파라미터!$B$19+파라미터!$B$20-MIN(파라미터!$B$15,파라미터!$B$5*(IF(H62&gt;=1,파라미터!$B$10,0)+IF(H62&gt;=2,파라미터!$B$11,0)+IF(H62&gt;=3,파라미터!$B$12,0))))-IF(MOD($A62-1,파라미터!$B$22)=0,파라미터!$B$21,0)</f>
        <v/>
      </c>
      <c r="J62" s="15">
        <f>MAX(0,J61+I62)</f>
        <v/>
      </c>
      <c r="K62" s="14">
        <f>IF(OR($A62&lt;파라미터!$B$6,MOD($A62,파라미터!$B$6)&gt;=5),0,INT((5-MOD($A62,파라미터!$B$6)-1)/파라미터!$B$6)+1)</f>
        <v/>
      </c>
      <c r="L62" s="15">
        <f>((K62*파라미터!$B$5-파라미터!$B$5*(IF(K62&gt;=1,파라미터!$B$10,0)+IF(K62&gt;=2,파라미터!$B$11,0)+IF(K62&gt;=3,파라미터!$B$12,0)))+MAX(0,파라미터!$B$5*(IF(K62&gt;=1,파라미터!$B$10,0)+IF(K62&gt;=2,파라미터!$B$11,0)+IF(K62&gt;=3,파라미터!$B$12,0))-파라미터!$B$15))*파라미터!$B$16-K62*파라미터!$B$7-MAX(0,파라미터!$B$19+파라미터!$B$20-MIN(파라미터!$B$15,파라미터!$B$5*(IF(K62&gt;=1,파라미터!$B$10,0)+IF(K62&gt;=2,파라미터!$B$11,0)+IF(K62&gt;=3,파라미터!$B$12,0))))-IF(MOD($A62-1,파라미터!$B$22)=0,파라미터!$B$21,0)</f>
        <v/>
      </c>
      <c r="M62" s="15">
        <f>MAX(0,M61+L62)</f>
        <v/>
      </c>
      <c r="N62" s="14">
        <f>IF(OR($A62&lt;파라미터!$B$6,MOD($A62,파라미터!$B$6)&gt;=10),0,INT((10-MOD($A62,파라미터!$B$6)-1)/파라미터!$B$6)+1)</f>
        <v/>
      </c>
      <c r="O62" s="15">
        <f>((N62*파라미터!$B$5-파라미터!$B$5*(IF(N62&gt;=1,파라미터!$B$10,0)+IF(N62&gt;=2,파라미터!$B$11,0)+IF(N62&gt;=3,파라미터!$B$12,0)))+MAX(0,파라미터!$B$5*(IF(N62&gt;=1,파라미터!$B$10,0)+IF(N62&gt;=2,파라미터!$B$11,0)+IF(N62&gt;=3,파라미터!$B$12,0))-파라미터!$B$15))*파라미터!$B$16-N62*파라미터!$B$7-MAX(0,파라미터!$B$19+파라미터!$B$20-MIN(파라미터!$B$15,파라미터!$B$5*(IF(N62&gt;=1,파라미터!$B$10,0)+IF(N62&gt;=2,파라미터!$B$11,0)+IF(N62&gt;=3,파라미터!$B$12,0))))-IF(MOD($A62-1,파라미터!$B$22)=0,파라미터!$B$21,0)</f>
        <v/>
      </c>
      <c r="P62" s="15">
        <f>MAX(0,P61+O62)</f>
        <v/>
      </c>
      <c r="Q62" s="14">
        <f>IF(OR($A62&lt;파라미터!$B$6,MOD($A62,파라미터!$B$6)&gt;=20),0,INT((20-MOD($A62,파라미터!$B$6)-1)/파라미터!$B$6)+1)</f>
        <v/>
      </c>
      <c r="R62" s="15">
        <f>((Q62*파라미터!$B$5-파라미터!$B$5*(IF(Q62&gt;=1,파라미터!$B$10,0)+IF(Q62&gt;=2,파라미터!$B$11,0)+IF(Q62&gt;=3,파라미터!$B$12,0)))+MAX(0,파라미터!$B$5*(IF(Q62&gt;=1,파라미터!$B$10,0)+IF(Q62&gt;=2,파라미터!$B$11,0)+IF(Q62&gt;=3,파라미터!$B$12,0))-파라미터!$B$15))*파라미터!$B$16-Q62*파라미터!$B$7-MAX(0,파라미터!$B$19+파라미터!$B$20-MIN(파라미터!$B$15,파라미터!$B$5*(IF(Q62&gt;=1,파라미터!$B$10,0)+IF(Q62&gt;=2,파라미터!$B$11,0)+IF(Q62&gt;=3,파라미터!$B$12,0))))-IF(MOD($A62-1,파라미터!$B$22)=0,파라미터!$B$21,0)</f>
        <v/>
      </c>
      <c r="S62" s="15">
        <f>MAX(0,S61+R62)</f>
        <v/>
      </c>
    </row>
    <row r="63">
      <c r="A63" s="13" t="n">
        <v>59</v>
      </c>
      <c r="B63" s="14">
        <f>IF(OR($A63&lt;파라미터!$B$6,MOD($A63,파라미터!$B$6)&gt;=1),0,INT((1-MOD($A63,파라미터!$B$6)-1)/파라미터!$B$6)+1)</f>
        <v/>
      </c>
      <c r="C63" s="15">
        <f>((B63*파라미터!$B$5-파라미터!$B$5*(IF(B63&gt;=1,파라미터!$B$10,0)+IF(B63&gt;=2,파라미터!$B$11,0)+IF(B63&gt;=3,파라미터!$B$12,0)))+MAX(0,파라미터!$B$5*(IF(B63&gt;=1,파라미터!$B$10,0)+IF(B63&gt;=2,파라미터!$B$11,0)+IF(B63&gt;=3,파라미터!$B$12,0))-파라미터!$B$15))*파라미터!$B$16-B63*파라미터!$B$7-MAX(0,파라미터!$B$19+파라미터!$B$20-MIN(파라미터!$B$15,파라미터!$B$5*(IF(B63&gt;=1,파라미터!$B$10,0)+IF(B63&gt;=2,파라미터!$B$11,0)+IF(B63&gt;=3,파라미터!$B$12,0))))-IF(MOD($A63-1,파라미터!$B$22)=0,파라미터!$B$21,0)</f>
        <v/>
      </c>
      <c r="D63" s="15">
        <f>MAX(0,D62+C63)</f>
        <v/>
      </c>
      <c r="E63" s="14">
        <f>IF(OR($A63&lt;파라미터!$B$6,MOD($A63,파라미터!$B$6)&gt;=2),0,INT((2-MOD($A63,파라미터!$B$6)-1)/파라미터!$B$6)+1)</f>
        <v/>
      </c>
      <c r="F63" s="15">
        <f>((E63*파라미터!$B$5-파라미터!$B$5*(IF(E63&gt;=1,파라미터!$B$10,0)+IF(E63&gt;=2,파라미터!$B$11,0)+IF(E63&gt;=3,파라미터!$B$12,0)))+MAX(0,파라미터!$B$5*(IF(E63&gt;=1,파라미터!$B$10,0)+IF(E63&gt;=2,파라미터!$B$11,0)+IF(E63&gt;=3,파라미터!$B$12,0))-파라미터!$B$15))*파라미터!$B$16-E63*파라미터!$B$7-MAX(0,파라미터!$B$19+파라미터!$B$20-MIN(파라미터!$B$15,파라미터!$B$5*(IF(E63&gt;=1,파라미터!$B$10,0)+IF(E63&gt;=2,파라미터!$B$11,0)+IF(E63&gt;=3,파라미터!$B$12,0))))-IF(MOD($A63-1,파라미터!$B$22)=0,파라미터!$B$21,0)</f>
        <v/>
      </c>
      <c r="G63" s="15">
        <f>MAX(0,G62+F63)</f>
        <v/>
      </c>
      <c r="H63" s="14">
        <f>IF(OR($A63&lt;파라미터!$B$6,MOD($A63,파라미터!$B$6)&gt;=3),0,INT((3-MOD($A63,파라미터!$B$6)-1)/파라미터!$B$6)+1)</f>
        <v/>
      </c>
      <c r="I63" s="15">
        <f>((H63*파라미터!$B$5-파라미터!$B$5*(IF(H63&gt;=1,파라미터!$B$10,0)+IF(H63&gt;=2,파라미터!$B$11,0)+IF(H63&gt;=3,파라미터!$B$12,0)))+MAX(0,파라미터!$B$5*(IF(H63&gt;=1,파라미터!$B$10,0)+IF(H63&gt;=2,파라미터!$B$11,0)+IF(H63&gt;=3,파라미터!$B$12,0))-파라미터!$B$15))*파라미터!$B$16-H63*파라미터!$B$7-MAX(0,파라미터!$B$19+파라미터!$B$20-MIN(파라미터!$B$15,파라미터!$B$5*(IF(H63&gt;=1,파라미터!$B$10,0)+IF(H63&gt;=2,파라미터!$B$11,0)+IF(H63&gt;=3,파라미터!$B$12,0))))-IF(MOD($A63-1,파라미터!$B$22)=0,파라미터!$B$21,0)</f>
        <v/>
      </c>
      <c r="J63" s="15">
        <f>MAX(0,J62+I63)</f>
        <v/>
      </c>
      <c r="K63" s="14">
        <f>IF(OR($A63&lt;파라미터!$B$6,MOD($A63,파라미터!$B$6)&gt;=5),0,INT((5-MOD($A63,파라미터!$B$6)-1)/파라미터!$B$6)+1)</f>
        <v/>
      </c>
      <c r="L63" s="15">
        <f>((K63*파라미터!$B$5-파라미터!$B$5*(IF(K63&gt;=1,파라미터!$B$10,0)+IF(K63&gt;=2,파라미터!$B$11,0)+IF(K63&gt;=3,파라미터!$B$12,0)))+MAX(0,파라미터!$B$5*(IF(K63&gt;=1,파라미터!$B$10,0)+IF(K63&gt;=2,파라미터!$B$11,0)+IF(K63&gt;=3,파라미터!$B$12,0))-파라미터!$B$15))*파라미터!$B$16-K63*파라미터!$B$7-MAX(0,파라미터!$B$19+파라미터!$B$20-MIN(파라미터!$B$15,파라미터!$B$5*(IF(K63&gt;=1,파라미터!$B$10,0)+IF(K63&gt;=2,파라미터!$B$11,0)+IF(K63&gt;=3,파라미터!$B$12,0))))-IF(MOD($A63-1,파라미터!$B$22)=0,파라미터!$B$21,0)</f>
        <v/>
      </c>
      <c r="M63" s="15">
        <f>MAX(0,M62+L63)</f>
        <v/>
      </c>
      <c r="N63" s="14">
        <f>IF(OR($A63&lt;파라미터!$B$6,MOD($A63,파라미터!$B$6)&gt;=10),0,INT((10-MOD($A63,파라미터!$B$6)-1)/파라미터!$B$6)+1)</f>
        <v/>
      </c>
      <c r="O63" s="15">
        <f>((N63*파라미터!$B$5-파라미터!$B$5*(IF(N63&gt;=1,파라미터!$B$10,0)+IF(N63&gt;=2,파라미터!$B$11,0)+IF(N63&gt;=3,파라미터!$B$12,0)))+MAX(0,파라미터!$B$5*(IF(N63&gt;=1,파라미터!$B$10,0)+IF(N63&gt;=2,파라미터!$B$11,0)+IF(N63&gt;=3,파라미터!$B$12,0))-파라미터!$B$15))*파라미터!$B$16-N63*파라미터!$B$7-MAX(0,파라미터!$B$19+파라미터!$B$20-MIN(파라미터!$B$15,파라미터!$B$5*(IF(N63&gt;=1,파라미터!$B$10,0)+IF(N63&gt;=2,파라미터!$B$11,0)+IF(N63&gt;=3,파라미터!$B$12,0))))-IF(MOD($A63-1,파라미터!$B$22)=0,파라미터!$B$21,0)</f>
        <v/>
      </c>
      <c r="P63" s="15">
        <f>MAX(0,P62+O63)</f>
        <v/>
      </c>
      <c r="Q63" s="14">
        <f>IF(OR($A63&lt;파라미터!$B$6,MOD($A63,파라미터!$B$6)&gt;=20),0,INT((20-MOD($A63,파라미터!$B$6)-1)/파라미터!$B$6)+1)</f>
        <v/>
      </c>
      <c r="R63" s="15">
        <f>((Q63*파라미터!$B$5-파라미터!$B$5*(IF(Q63&gt;=1,파라미터!$B$10,0)+IF(Q63&gt;=2,파라미터!$B$11,0)+IF(Q63&gt;=3,파라미터!$B$12,0)))+MAX(0,파라미터!$B$5*(IF(Q63&gt;=1,파라미터!$B$10,0)+IF(Q63&gt;=2,파라미터!$B$11,0)+IF(Q63&gt;=3,파라미터!$B$12,0))-파라미터!$B$15))*파라미터!$B$16-Q63*파라미터!$B$7-MAX(0,파라미터!$B$19+파라미터!$B$20-MIN(파라미터!$B$15,파라미터!$B$5*(IF(Q63&gt;=1,파라미터!$B$10,0)+IF(Q63&gt;=2,파라미터!$B$11,0)+IF(Q63&gt;=3,파라미터!$B$12,0))))-IF(MOD($A63-1,파라미터!$B$22)=0,파라미터!$B$21,0)</f>
        <v/>
      </c>
      <c r="S63" s="15">
        <f>MAX(0,S62+R63)</f>
        <v/>
      </c>
    </row>
    <row r="64">
      <c r="A64" s="13" t="n">
        <v>60</v>
      </c>
      <c r="B64" s="14">
        <f>IF(OR($A64&lt;파라미터!$B$6,MOD($A64,파라미터!$B$6)&gt;=1),0,INT((1-MOD($A64,파라미터!$B$6)-1)/파라미터!$B$6)+1)</f>
        <v/>
      </c>
      <c r="C64" s="15">
        <f>((B64*파라미터!$B$5-파라미터!$B$5*(IF(B64&gt;=1,파라미터!$B$10,0)+IF(B64&gt;=2,파라미터!$B$11,0)+IF(B64&gt;=3,파라미터!$B$12,0)))+MAX(0,파라미터!$B$5*(IF(B64&gt;=1,파라미터!$B$10,0)+IF(B64&gt;=2,파라미터!$B$11,0)+IF(B64&gt;=3,파라미터!$B$12,0))-파라미터!$B$15))*파라미터!$B$16-B64*파라미터!$B$7-MAX(0,파라미터!$B$19+파라미터!$B$20-MIN(파라미터!$B$15,파라미터!$B$5*(IF(B64&gt;=1,파라미터!$B$10,0)+IF(B64&gt;=2,파라미터!$B$11,0)+IF(B64&gt;=3,파라미터!$B$12,0))))-IF(MOD($A64-1,파라미터!$B$22)=0,파라미터!$B$21,0)</f>
        <v/>
      </c>
      <c r="D64" s="15">
        <f>MAX(0,D63+C64)</f>
        <v/>
      </c>
      <c r="E64" s="14">
        <f>IF(OR($A64&lt;파라미터!$B$6,MOD($A64,파라미터!$B$6)&gt;=2),0,INT((2-MOD($A64,파라미터!$B$6)-1)/파라미터!$B$6)+1)</f>
        <v/>
      </c>
      <c r="F64" s="15">
        <f>((E64*파라미터!$B$5-파라미터!$B$5*(IF(E64&gt;=1,파라미터!$B$10,0)+IF(E64&gt;=2,파라미터!$B$11,0)+IF(E64&gt;=3,파라미터!$B$12,0)))+MAX(0,파라미터!$B$5*(IF(E64&gt;=1,파라미터!$B$10,0)+IF(E64&gt;=2,파라미터!$B$11,0)+IF(E64&gt;=3,파라미터!$B$12,0))-파라미터!$B$15))*파라미터!$B$16-E64*파라미터!$B$7-MAX(0,파라미터!$B$19+파라미터!$B$20-MIN(파라미터!$B$15,파라미터!$B$5*(IF(E64&gt;=1,파라미터!$B$10,0)+IF(E64&gt;=2,파라미터!$B$11,0)+IF(E64&gt;=3,파라미터!$B$12,0))))-IF(MOD($A64-1,파라미터!$B$22)=0,파라미터!$B$21,0)</f>
        <v/>
      </c>
      <c r="G64" s="15">
        <f>MAX(0,G63+F64)</f>
        <v/>
      </c>
      <c r="H64" s="14">
        <f>IF(OR($A64&lt;파라미터!$B$6,MOD($A64,파라미터!$B$6)&gt;=3),0,INT((3-MOD($A64,파라미터!$B$6)-1)/파라미터!$B$6)+1)</f>
        <v/>
      </c>
      <c r="I64" s="15">
        <f>((H64*파라미터!$B$5-파라미터!$B$5*(IF(H64&gt;=1,파라미터!$B$10,0)+IF(H64&gt;=2,파라미터!$B$11,0)+IF(H64&gt;=3,파라미터!$B$12,0)))+MAX(0,파라미터!$B$5*(IF(H64&gt;=1,파라미터!$B$10,0)+IF(H64&gt;=2,파라미터!$B$11,0)+IF(H64&gt;=3,파라미터!$B$12,0))-파라미터!$B$15))*파라미터!$B$16-H64*파라미터!$B$7-MAX(0,파라미터!$B$19+파라미터!$B$20-MIN(파라미터!$B$15,파라미터!$B$5*(IF(H64&gt;=1,파라미터!$B$10,0)+IF(H64&gt;=2,파라미터!$B$11,0)+IF(H64&gt;=3,파라미터!$B$12,0))))-IF(MOD($A64-1,파라미터!$B$22)=0,파라미터!$B$21,0)</f>
        <v/>
      </c>
      <c r="J64" s="15">
        <f>MAX(0,J63+I64)</f>
        <v/>
      </c>
      <c r="K64" s="14">
        <f>IF(OR($A64&lt;파라미터!$B$6,MOD($A64,파라미터!$B$6)&gt;=5),0,INT((5-MOD($A64,파라미터!$B$6)-1)/파라미터!$B$6)+1)</f>
        <v/>
      </c>
      <c r="L64" s="15">
        <f>((K64*파라미터!$B$5-파라미터!$B$5*(IF(K64&gt;=1,파라미터!$B$10,0)+IF(K64&gt;=2,파라미터!$B$11,0)+IF(K64&gt;=3,파라미터!$B$12,0)))+MAX(0,파라미터!$B$5*(IF(K64&gt;=1,파라미터!$B$10,0)+IF(K64&gt;=2,파라미터!$B$11,0)+IF(K64&gt;=3,파라미터!$B$12,0))-파라미터!$B$15))*파라미터!$B$16-K64*파라미터!$B$7-MAX(0,파라미터!$B$19+파라미터!$B$20-MIN(파라미터!$B$15,파라미터!$B$5*(IF(K64&gt;=1,파라미터!$B$10,0)+IF(K64&gt;=2,파라미터!$B$11,0)+IF(K64&gt;=3,파라미터!$B$12,0))))-IF(MOD($A64-1,파라미터!$B$22)=0,파라미터!$B$21,0)</f>
        <v/>
      </c>
      <c r="M64" s="15">
        <f>MAX(0,M63+L64)</f>
        <v/>
      </c>
      <c r="N64" s="14">
        <f>IF(OR($A64&lt;파라미터!$B$6,MOD($A64,파라미터!$B$6)&gt;=10),0,INT((10-MOD($A64,파라미터!$B$6)-1)/파라미터!$B$6)+1)</f>
        <v/>
      </c>
      <c r="O64" s="15">
        <f>((N64*파라미터!$B$5-파라미터!$B$5*(IF(N64&gt;=1,파라미터!$B$10,0)+IF(N64&gt;=2,파라미터!$B$11,0)+IF(N64&gt;=3,파라미터!$B$12,0)))+MAX(0,파라미터!$B$5*(IF(N64&gt;=1,파라미터!$B$10,0)+IF(N64&gt;=2,파라미터!$B$11,0)+IF(N64&gt;=3,파라미터!$B$12,0))-파라미터!$B$15))*파라미터!$B$16-N64*파라미터!$B$7-MAX(0,파라미터!$B$19+파라미터!$B$20-MIN(파라미터!$B$15,파라미터!$B$5*(IF(N64&gt;=1,파라미터!$B$10,0)+IF(N64&gt;=2,파라미터!$B$11,0)+IF(N64&gt;=3,파라미터!$B$12,0))))-IF(MOD($A64-1,파라미터!$B$22)=0,파라미터!$B$21,0)</f>
        <v/>
      </c>
      <c r="P64" s="15">
        <f>MAX(0,P63+O64)</f>
        <v/>
      </c>
      <c r="Q64" s="14">
        <f>IF(OR($A64&lt;파라미터!$B$6,MOD($A64,파라미터!$B$6)&gt;=20),0,INT((20-MOD($A64,파라미터!$B$6)-1)/파라미터!$B$6)+1)</f>
        <v/>
      </c>
      <c r="R64" s="15">
        <f>((Q64*파라미터!$B$5-파라미터!$B$5*(IF(Q64&gt;=1,파라미터!$B$10,0)+IF(Q64&gt;=2,파라미터!$B$11,0)+IF(Q64&gt;=3,파라미터!$B$12,0)))+MAX(0,파라미터!$B$5*(IF(Q64&gt;=1,파라미터!$B$10,0)+IF(Q64&gt;=2,파라미터!$B$11,0)+IF(Q64&gt;=3,파라미터!$B$12,0))-파라미터!$B$15))*파라미터!$B$16-Q64*파라미터!$B$7-MAX(0,파라미터!$B$19+파라미터!$B$20-MIN(파라미터!$B$15,파라미터!$B$5*(IF(Q64&gt;=1,파라미터!$B$10,0)+IF(Q64&gt;=2,파라미터!$B$11,0)+IF(Q64&gt;=3,파라미터!$B$12,0))))-IF(MOD($A64-1,파라미터!$B$22)=0,파라미터!$B$21,0)</f>
        <v/>
      </c>
      <c r="S64" s="15">
        <f>MAX(0,S63+R64)</f>
        <v/>
      </c>
    </row>
    <row r="65">
      <c r="A65" s="13" t="n">
        <v>61</v>
      </c>
      <c r="B65" s="14">
        <f>IF(OR($A65&lt;파라미터!$B$6,MOD($A65,파라미터!$B$6)&gt;=1),0,INT((1-MOD($A65,파라미터!$B$6)-1)/파라미터!$B$6)+1)</f>
        <v/>
      </c>
      <c r="C65" s="15">
        <f>((B65*파라미터!$B$5-파라미터!$B$5*(IF(B65&gt;=1,파라미터!$B$10,0)+IF(B65&gt;=2,파라미터!$B$11,0)+IF(B65&gt;=3,파라미터!$B$12,0)))+MAX(0,파라미터!$B$5*(IF(B65&gt;=1,파라미터!$B$10,0)+IF(B65&gt;=2,파라미터!$B$11,0)+IF(B65&gt;=3,파라미터!$B$12,0))-파라미터!$B$15))*파라미터!$B$16-B65*파라미터!$B$7-MAX(0,파라미터!$B$19+파라미터!$B$20-MIN(파라미터!$B$15,파라미터!$B$5*(IF(B65&gt;=1,파라미터!$B$10,0)+IF(B65&gt;=2,파라미터!$B$11,0)+IF(B65&gt;=3,파라미터!$B$12,0))))-IF(MOD($A65-1,파라미터!$B$22)=0,파라미터!$B$21,0)</f>
        <v/>
      </c>
      <c r="D65" s="15">
        <f>MAX(0,D64+C65)</f>
        <v/>
      </c>
      <c r="E65" s="14">
        <f>IF(OR($A65&lt;파라미터!$B$6,MOD($A65,파라미터!$B$6)&gt;=2),0,INT((2-MOD($A65,파라미터!$B$6)-1)/파라미터!$B$6)+1)</f>
        <v/>
      </c>
      <c r="F65" s="15">
        <f>((E65*파라미터!$B$5-파라미터!$B$5*(IF(E65&gt;=1,파라미터!$B$10,0)+IF(E65&gt;=2,파라미터!$B$11,0)+IF(E65&gt;=3,파라미터!$B$12,0)))+MAX(0,파라미터!$B$5*(IF(E65&gt;=1,파라미터!$B$10,0)+IF(E65&gt;=2,파라미터!$B$11,0)+IF(E65&gt;=3,파라미터!$B$12,0))-파라미터!$B$15))*파라미터!$B$16-E65*파라미터!$B$7-MAX(0,파라미터!$B$19+파라미터!$B$20-MIN(파라미터!$B$15,파라미터!$B$5*(IF(E65&gt;=1,파라미터!$B$10,0)+IF(E65&gt;=2,파라미터!$B$11,0)+IF(E65&gt;=3,파라미터!$B$12,0))))-IF(MOD($A65-1,파라미터!$B$22)=0,파라미터!$B$21,0)</f>
        <v/>
      </c>
      <c r="G65" s="15">
        <f>MAX(0,G64+F65)</f>
        <v/>
      </c>
      <c r="H65" s="14">
        <f>IF(OR($A65&lt;파라미터!$B$6,MOD($A65,파라미터!$B$6)&gt;=3),0,INT((3-MOD($A65,파라미터!$B$6)-1)/파라미터!$B$6)+1)</f>
        <v/>
      </c>
      <c r="I65" s="15">
        <f>((H65*파라미터!$B$5-파라미터!$B$5*(IF(H65&gt;=1,파라미터!$B$10,0)+IF(H65&gt;=2,파라미터!$B$11,0)+IF(H65&gt;=3,파라미터!$B$12,0)))+MAX(0,파라미터!$B$5*(IF(H65&gt;=1,파라미터!$B$10,0)+IF(H65&gt;=2,파라미터!$B$11,0)+IF(H65&gt;=3,파라미터!$B$12,0))-파라미터!$B$15))*파라미터!$B$16-H65*파라미터!$B$7-MAX(0,파라미터!$B$19+파라미터!$B$20-MIN(파라미터!$B$15,파라미터!$B$5*(IF(H65&gt;=1,파라미터!$B$10,0)+IF(H65&gt;=2,파라미터!$B$11,0)+IF(H65&gt;=3,파라미터!$B$12,0))))-IF(MOD($A65-1,파라미터!$B$22)=0,파라미터!$B$21,0)</f>
        <v/>
      </c>
      <c r="J65" s="15">
        <f>MAX(0,J64+I65)</f>
        <v/>
      </c>
      <c r="K65" s="14">
        <f>IF(OR($A65&lt;파라미터!$B$6,MOD($A65,파라미터!$B$6)&gt;=5),0,INT((5-MOD($A65,파라미터!$B$6)-1)/파라미터!$B$6)+1)</f>
        <v/>
      </c>
      <c r="L65" s="15">
        <f>((K65*파라미터!$B$5-파라미터!$B$5*(IF(K65&gt;=1,파라미터!$B$10,0)+IF(K65&gt;=2,파라미터!$B$11,0)+IF(K65&gt;=3,파라미터!$B$12,0)))+MAX(0,파라미터!$B$5*(IF(K65&gt;=1,파라미터!$B$10,0)+IF(K65&gt;=2,파라미터!$B$11,0)+IF(K65&gt;=3,파라미터!$B$12,0))-파라미터!$B$15))*파라미터!$B$16-K65*파라미터!$B$7-MAX(0,파라미터!$B$19+파라미터!$B$20-MIN(파라미터!$B$15,파라미터!$B$5*(IF(K65&gt;=1,파라미터!$B$10,0)+IF(K65&gt;=2,파라미터!$B$11,0)+IF(K65&gt;=3,파라미터!$B$12,0))))-IF(MOD($A65-1,파라미터!$B$22)=0,파라미터!$B$21,0)</f>
        <v/>
      </c>
      <c r="M65" s="15">
        <f>MAX(0,M64+L65)</f>
        <v/>
      </c>
      <c r="N65" s="14">
        <f>IF(OR($A65&lt;파라미터!$B$6,MOD($A65,파라미터!$B$6)&gt;=10),0,INT((10-MOD($A65,파라미터!$B$6)-1)/파라미터!$B$6)+1)</f>
        <v/>
      </c>
      <c r="O65" s="15">
        <f>((N65*파라미터!$B$5-파라미터!$B$5*(IF(N65&gt;=1,파라미터!$B$10,0)+IF(N65&gt;=2,파라미터!$B$11,0)+IF(N65&gt;=3,파라미터!$B$12,0)))+MAX(0,파라미터!$B$5*(IF(N65&gt;=1,파라미터!$B$10,0)+IF(N65&gt;=2,파라미터!$B$11,0)+IF(N65&gt;=3,파라미터!$B$12,0))-파라미터!$B$15))*파라미터!$B$16-N65*파라미터!$B$7-MAX(0,파라미터!$B$19+파라미터!$B$20-MIN(파라미터!$B$15,파라미터!$B$5*(IF(N65&gt;=1,파라미터!$B$10,0)+IF(N65&gt;=2,파라미터!$B$11,0)+IF(N65&gt;=3,파라미터!$B$12,0))))-IF(MOD($A65-1,파라미터!$B$22)=0,파라미터!$B$21,0)</f>
        <v/>
      </c>
      <c r="P65" s="15">
        <f>MAX(0,P64+O65)</f>
        <v/>
      </c>
      <c r="Q65" s="14">
        <f>IF(OR($A65&lt;파라미터!$B$6,MOD($A65,파라미터!$B$6)&gt;=20),0,INT((20-MOD($A65,파라미터!$B$6)-1)/파라미터!$B$6)+1)</f>
        <v/>
      </c>
      <c r="R65" s="15">
        <f>((Q65*파라미터!$B$5-파라미터!$B$5*(IF(Q65&gt;=1,파라미터!$B$10,0)+IF(Q65&gt;=2,파라미터!$B$11,0)+IF(Q65&gt;=3,파라미터!$B$12,0)))+MAX(0,파라미터!$B$5*(IF(Q65&gt;=1,파라미터!$B$10,0)+IF(Q65&gt;=2,파라미터!$B$11,0)+IF(Q65&gt;=3,파라미터!$B$12,0))-파라미터!$B$15))*파라미터!$B$16-Q65*파라미터!$B$7-MAX(0,파라미터!$B$19+파라미터!$B$20-MIN(파라미터!$B$15,파라미터!$B$5*(IF(Q65&gt;=1,파라미터!$B$10,0)+IF(Q65&gt;=2,파라미터!$B$11,0)+IF(Q65&gt;=3,파라미터!$B$12,0))))-IF(MOD($A65-1,파라미터!$B$22)=0,파라미터!$B$21,0)</f>
        <v/>
      </c>
      <c r="S65" s="15">
        <f>MAX(0,S64+R65)</f>
        <v/>
      </c>
    </row>
    <row r="66">
      <c r="A66" s="13" t="n">
        <v>62</v>
      </c>
      <c r="B66" s="14">
        <f>IF(OR($A66&lt;파라미터!$B$6,MOD($A66,파라미터!$B$6)&gt;=1),0,INT((1-MOD($A66,파라미터!$B$6)-1)/파라미터!$B$6)+1)</f>
        <v/>
      </c>
      <c r="C66" s="15">
        <f>((B66*파라미터!$B$5-파라미터!$B$5*(IF(B66&gt;=1,파라미터!$B$10,0)+IF(B66&gt;=2,파라미터!$B$11,0)+IF(B66&gt;=3,파라미터!$B$12,0)))+MAX(0,파라미터!$B$5*(IF(B66&gt;=1,파라미터!$B$10,0)+IF(B66&gt;=2,파라미터!$B$11,0)+IF(B66&gt;=3,파라미터!$B$12,0))-파라미터!$B$15))*파라미터!$B$16-B66*파라미터!$B$7-MAX(0,파라미터!$B$19+파라미터!$B$20-MIN(파라미터!$B$15,파라미터!$B$5*(IF(B66&gt;=1,파라미터!$B$10,0)+IF(B66&gt;=2,파라미터!$B$11,0)+IF(B66&gt;=3,파라미터!$B$12,0))))-IF(MOD($A66-1,파라미터!$B$22)=0,파라미터!$B$21,0)</f>
        <v/>
      </c>
      <c r="D66" s="15">
        <f>MAX(0,D65+C66)</f>
        <v/>
      </c>
      <c r="E66" s="14">
        <f>IF(OR($A66&lt;파라미터!$B$6,MOD($A66,파라미터!$B$6)&gt;=2),0,INT((2-MOD($A66,파라미터!$B$6)-1)/파라미터!$B$6)+1)</f>
        <v/>
      </c>
      <c r="F66" s="15">
        <f>((E66*파라미터!$B$5-파라미터!$B$5*(IF(E66&gt;=1,파라미터!$B$10,0)+IF(E66&gt;=2,파라미터!$B$11,0)+IF(E66&gt;=3,파라미터!$B$12,0)))+MAX(0,파라미터!$B$5*(IF(E66&gt;=1,파라미터!$B$10,0)+IF(E66&gt;=2,파라미터!$B$11,0)+IF(E66&gt;=3,파라미터!$B$12,0))-파라미터!$B$15))*파라미터!$B$16-E66*파라미터!$B$7-MAX(0,파라미터!$B$19+파라미터!$B$20-MIN(파라미터!$B$15,파라미터!$B$5*(IF(E66&gt;=1,파라미터!$B$10,0)+IF(E66&gt;=2,파라미터!$B$11,0)+IF(E66&gt;=3,파라미터!$B$12,0))))-IF(MOD($A66-1,파라미터!$B$22)=0,파라미터!$B$21,0)</f>
        <v/>
      </c>
      <c r="G66" s="15">
        <f>MAX(0,G65+F66)</f>
        <v/>
      </c>
      <c r="H66" s="14">
        <f>IF(OR($A66&lt;파라미터!$B$6,MOD($A66,파라미터!$B$6)&gt;=3),0,INT((3-MOD($A66,파라미터!$B$6)-1)/파라미터!$B$6)+1)</f>
        <v/>
      </c>
      <c r="I66" s="15">
        <f>((H66*파라미터!$B$5-파라미터!$B$5*(IF(H66&gt;=1,파라미터!$B$10,0)+IF(H66&gt;=2,파라미터!$B$11,0)+IF(H66&gt;=3,파라미터!$B$12,0)))+MAX(0,파라미터!$B$5*(IF(H66&gt;=1,파라미터!$B$10,0)+IF(H66&gt;=2,파라미터!$B$11,0)+IF(H66&gt;=3,파라미터!$B$12,0))-파라미터!$B$15))*파라미터!$B$16-H66*파라미터!$B$7-MAX(0,파라미터!$B$19+파라미터!$B$20-MIN(파라미터!$B$15,파라미터!$B$5*(IF(H66&gt;=1,파라미터!$B$10,0)+IF(H66&gt;=2,파라미터!$B$11,0)+IF(H66&gt;=3,파라미터!$B$12,0))))-IF(MOD($A66-1,파라미터!$B$22)=0,파라미터!$B$21,0)</f>
        <v/>
      </c>
      <c r="J66" s="15">
        <f>MAX(0,J65+I66)</f>
        <v/>
      </c>
      <c r="K66" s="14">
        <f>IF(OR($A66&lt;파라미터!$B$6,MOD($A66,파라미터!$B$6)&gt;=5),0,INT((5-MOD($A66,파라미터!$B$6)-1)/파라미터!$B$6)+1)</f>
        <v/>
      </c>
      <c r="L66" s="15">
        <f>((K66*파라미터!$B$5-파라미터!$B$5*(IF(K66&gt;=1,파라미터!$B$10,0)+IF(K66&gt;=2,파라미터!$B$11,0)+IF(K66&gt;=3,파라미터!$B$12,0)))+MAX(0,파라미터!$B$5*(IF(K66&gt;=1,파라미터!$B$10,0)+IF(K66&gt;=2,파라미터!$B$11,0)+IF(K66&gt;=3,파라미터!$B$12,0))-파라미터!$B$15))*파라미터!$B$16-K66*파라미터!$B$7-MAX(0,파라미터!$B$19+파라미터!$B$20-MIN(파라미터!$B$15,파라미터!$B$5*(IF(K66&gt;=1,파라미터!$B$10,0)+IF(K66&gt;=2,파라미터!$B$11,0)+IF(K66&gt;=3,파라미터!$B$12,0))))-IF(MOD($A66-1,파라미터!$B$22)=0,파라미터!$B$21,0)</f>
        <v/>
      </c>
      <c r="M66" s="15">
        <f>MAX(0,M65+L66)</f>
        <v/>
      </c>
      <c r="N66" s="14">
        <f>IF(OR($A66&lt;파라미터!$B$6,MOD($A66,파라미터!$B$6)&gt;=10),0,INT((10-MOD($A66,파라미터!$B$6)-1)/파라미터!$B$6)+1)</f>
        <v/>
      </c>
      <c r="O66" s="15">
        <f>((N66*파라미터!$B$5-파라미터!$B$5*(IF(N66&gt;=1,파라미터!$B$10,0)+IF(N66&gt;=2,파라미터!$B$11,0)+IF(N66&gt;=3,파라미터!$B$12,0)))+MAX(0,파라미터!$B$5*(IF(N66&gt;=1,파라미터!$B$10,0)+IF(N66&gt;=2,파라미터!$B$11,0)+IF(N66&gt;=3,파라미터!$B$12,0))-파라미터!$B$15))*파라미터!$B$16-N66*파라미터!$B$7-MAX(0,파라미터!$B$19+파라미터!$B$20-MIN(파라미터!$B$15,파라미터!$B$5*(IF(N66&gt;=1,파라미터!$B$10,0)+IF(N66&gt;=2,파라미터!$B$11,0)+IF(N66&gt;=3,파라미터!$B$12,0))))-IF(MOD($A66-1,파라미터!$B$22)=0,파라미터!$B$21,0)</f>
        <v/>
      </c>
      <c r="P66" s="15">
        <f>MAX(0,P65+O66)</f>
        <v/>
      </c>
      <c r="Q66" s="14">
        <f>IF(OR($A66&lt;파라미터!$B$6,MOD($A66,파라미터!$B$6)&gt;=20),0,INT((20-MOD($A66,파라미터!$B$6)-1)/파라미터!$B$6)+1)</f>
        <v/>
      </c>
      <c r="R66" s="15">
        <f>((Q66*파라미터!$B$5-파라미터!$B$5*(IF(Q66&gt;=1,파라미터!$B$10,0)+IF(Q66&gt;=2,파라미터!$B$11,0)+IF(Q66&gt;=3,파라미터!$B$12,0)))+MAX(0,파라미터!$B$5*(IF(Q66&gt;=1,파라미터!$B$10,0)+IF(Q66&gt;=2,파라미터!$B$11,0)+IF(Q66&gt;=3,파라미터!$B$12,0))-파라미터!$B$15))*파라미터!$B$16-Q66*파라미터!$B$7-MAX(0,파라미터!$B$19+파라미터!$B$20-MIN(파라미터!$B$15,파라미터!$B$5*(IF(Q66&gt;=1,파라미터!$B$10,0)+IF(Q66&gt;=2,파라미터!$B$11,0)+IF(Q66&gt;=3,파라미터!$B$12,0))))-IF(MOD($A66-1,파라미터!$B$22)=0,파라미터!$B$21,0)</f>
        <v/>
      </c>
      <c r="S66" s="15">
        <f>MAX(0,S65+R66)</f>
        <v/>
      </c>
    </row>
    <row r="67">
      <c r="A67" s="13" t="n">
        <v>63</v>
      </c>
      <c r="B67" s="14">
        <f>IF(OR($A67&lt;파라미터!$B$6,MOD($A67,파라미터!$B$6)&gt;=1),0,INT((1-MOD($A67,파라미터!$B$6)-1)/파라미터!$B$6)+1)</f>
        <v/>
      </c>
      <c r="C67" s="15">
        <f>((B67*파라미터!$B$5-파라미터!$B$5*(IF(B67&gt;=1,파라미터!$B$10,0)+IF(B67&gt;=2,파라미터!$B$11,0)+IF(B67&gt;=3,파라미터!$B$12,0)))+MAX(0,파라미터!$B$5*(IF(B67&gt;=1,파라미터!$B$10,0)+IF(B67&gt;=2,파라미터!$B$11,0)+IF(B67&gt;=3,파라미터!$B$12,0))-파라미터!$B$15))*파라미터!$B$16-B67*파라미터!$B$7-MAX(0,파라미터!$B$19+파라미터!$B$20-MIN(파라미터!$B$15,파라미터!$B$5*(IF(B67&gt;=1,파라미터!$B$10,0)+IF(B67&gt;=2,파라미터!$B$11,0)+IF(B67&gt;=3,파라미터!$B$12,0))))-IF(MOD($A67-1,파라미터!$B$22)=0,파라미터!$B$21,0)</f>
        <v/>
      </c>
      <c r="D67" s="15">
        <f>MAX(0,D66+C67)</f>
        <v/>
      </c>
      <c r="E67" s="14">
        <f>IF(OR($A67&lt;파라미터!$B$6,MOD($A67,파라미터!$B$6)&gt;=2),0,INT((2-MOD($A67,파라미터!$B$6)-1)/파라미터!$B$6)+1)</f>
        <v/>
      </c>
      <c r="F67" s="15">
        <f>((E67*파라미터!$B$5-파라미터!$B$5*(IF(E67&gt;=1,파라미터!$B$10,0)+IF(E67&gt;=2,파라미터!$B$11,0)+IF(E67&gt;=3,파라미터!$B$12,0)))+MAX(0,파라미터!$B$5*(IF(E67&gt;=1,파라미터!$B$10,0)+IF(E67&gt;=2,파라미터!$B$11,0)+IF(E67&gt;=3,파라미터!$B$12,0))-파라미터!$B$15))*파라미터!$B$16-E67*파라미터!$B$7-MAX(0,파라미터!$B$19+파라미터!$B$20-MIN(파라미터!$B$15,파라미터!$B$5*(IF(E67&gt;=1,파라미터!$B$10,0)+IF(E67&gt;=2,파라미터!$B$11,0)+IF(E67&gt;=3,파라미터!$B$12,0))))-IF(MOD($A67-1,파라미터!$B$22)=0,파라미터!$B$21,0)</f>
        <v/>
      </c>
      <c r="G67" s="15">
        <f>MAX(0,G66+F67)</f>
        <v/>
      </c>
      <c r="H67" s="14">
        <f>IF(OR($A67&lt;파라미터!$B$6,MOD($A67,파라미터!$B$6)&gt;=3),0,INT((3-MOD($A67,파라미터!$B$6)-1)/파라미터!$B$6)+1)</f>
        <v/>
      </c>
      <c r="I67" s="15">
        <f>((H67*파라미터!$B$5-파라미터!$B$5*(IF(H67&gt;=1,파라미터!$B$10,0)+IF(H67&gt;=2,파라미터!$B$11,0)+IF(H67&gt;=3,파라미터!$B$12,0)))+MAX(0,파라미터!$B$5*(IF(H67&gt;=1,파라미터!$B$10,0)+IF(H67&gt;=2,파라미터!$B$11,0)+IF(H67&gt;=3,파라미터!$B$12,0))-파라미터!$B$15))*파라미터!$B$16-H67*파라미터!$B$7-MAX(0,파라미터!$B$19+파라미터!$B$20-MIN(파라미터!$B$15,파라미터!$B$5*(IF(H67&gt;=1,파라미터!$B$10,0)+IF(H67&gt;=2,파라미터!$B$11,0)+IF(H67&gt;=3,파라미터!$B$12,0))))-IF(MOD($A67-1,파라미터!$B$22)=0,파라미터!$B$21,0)</f>
        <v/>
      </c>
      <c r="J67" s="15">
        <f>MAX(0,J66+I67)</f>
        <v/>
      </c>
      <c r="K67" s="14">
        <f>IF(OR($A67&lt;파라미터!$B$6,MOD($A67,파라미터!$B$6)&gt;=5),0,INT((5-MOD($A67,파라미터!$B$6)-1)/파라미터!$B$6)+1)</f>
        <v/>
      </c>
      <c r="L67" s="15">
        <f>((K67*파라미터!$B$5-파라미터!$B$5*(IF(K67&gt;=1,파라미터!$B$10,0)+IF(K67&gt;=2,파라미터!$B$11,0)+IF(K67&gt;=3,파라미터!$B$12,0)))+MAX(0,파라미터!$B$5*(IF(K67&gt;=1,파라미터!$B$10,0)+IF(K67&gt;=2,파라미터!$B$11,0)+IF(K67&gt;=3,파라미터!$B$12,0))-파라미터!$B$15))*파라미터!$B$16-K67*파라미터!$B$7-MAX(0,파라미터!$B$19+파라미터!$B$20-MIN(파라미터!$B$15,파라미터!$B$5*(IF(K67&gt;=1,파라미터!$B$10,0)+IF(K67&gt;=2,파라미터!$B$11,0)+IF(K67&gt;=3,파라미터!$B$12,0))))-IF(MOD($A67-1,파라미터!$B$22)=0,파라미터!$B$21,0)</f>
        <v/>
      </c>
      <c r="M67" s="15">
        <f>MAX(0,M66+L67)</f>
        <v/>
      </c>
      <c r="N67" s="14">
        <f>IF(OR($A67&lt;파라미터!$B$6,MOD($A67,파라미터!$B$6)&gt;=10),0,INT((10-MOD($A67,파라미터!$B$6)-1)/파라미터!$B$6)+1)</f>
        <v/>
      </c>
      <c r="O67" s="15">
        <f>((N67*파라미터!$B$5-파라미터!$B$5*(IF(N67&gt;=1,파라미터!$B$10,0)+IF(N67&gt;=2,파라미터!$B$11,0)+IF(N67&gt;=3,파라미터!$B$12,0)))+MAX(0,파라미터!$B$5*(IF(N67&gt;=1,파라미터!$B$10,0)+IF(N67&gt;=2,파라미터!$B$11,0)+IF(N67&gt;=3,파라미터!$B$12,0))-파라미터!$B$15))*파라미터!$B$16-N67*파라미터!$B$7-MAX(0,파라미터!$B$19+파라미터!$B$20-MIN(파라미터!$B$15,파라미터!$B$5*(IF(N67&gt;=1,파라미터!$B$10,0)+IF(N67&gt;=2,파라미터!$B$11,0)+IF(N67&gt;=3,파라미터!$B$12,0))))-IF(MOD($A67-1,파라미터!$B$22)=0,파라미터!$B$21,0)</f>
        <v/>
      </c>
      <c r="P67" s="15">
        <f>MAX(0,P66+O67)</f>
        <v/>
      </c>
      <c r="Q67" s="14">
        <f>IF(OR($A67&lt;파라미터!$B$6,MOD($A67,파라미터!$B$6)&gt;=20),0,INT((20-MOD($A67,파라미터!$B$6)-1)/파라미터!$B$6)+1)</f>
        <v/>
      </c>
      <c r="R67" s="15">
        <f>((Q67*파라미터!$B$5-파라미터!$B$5*(IF(Q67&gt;=1,파라미터!$B$10,0)+IF(Q67&gt;=2,파라미터!$B$11,0)+IF(Q67&gt;=3,파라미터!$B$12,0)))+MAX(0,파라미터!$B$5*(IF(Q67&gt;=1,파라미터!$B$10,0)+IF(Q67&gt;=2,파라미터!$B$11,0)+IF(Q67&gt;=3,파라미터!$B$12,0))-파라미터!$B$15))*파라미터!$B$16-Q67*파라미터!$B$7-MAX(0,파라미터!$B$19+파라미터!$B$20-MIN(파라미터!$B$15,파라미터!$B$5*(IF(Q67&gt;=1,파라미터!$B$10,0)+IF(Q67&gt;=2,파라미터!$B$11,0)+IF(Q67&gt;=3,파라미터!$B$12,0))))-IF(MOD($A67-1,파라미터!$B$22)=0,파라미터!$B$21,0)</f>
        <v/>
      </c>
      <c r="S67" s="15">
        <f>MAX(0,S66+R67)</f>
        <v/>
      </c>
    </row>
    <row r="68">
      <c r="A68" s="13" t="n">
        <v>64</v>
      </c>
      <c r="B68" s="14">
        <f>IF(OR($A68&lt;파라미터!$B$6,MOD($A68,파라미터!$B$6)&gt;=1),0,INT((1-MOD($A68,파라미터!$B$6)-1)/파라미터!$B$6)+1)</f>
        <v/>
      </c>
      <c r="C68" s="15">
        <f>((B68*파라미터!$B$5-파라미터!$B$5*(IF(B68&gt;=1,파라미터!$B$10,0)+IF(B68&gt;=2,파라미터!$B$11,0)+IF(B68&gt;=3,파라미터!$B$12,0)))+MAX(0,파라미터!$B$5*(IF(B68&gt;=1,파라미터!$B$10,0)+IF(B68&gt;=2,파라미터!$B$11,0)+IF(B68&gt;=3,파라미터!$B$12,0))-파라미터!$B$15))*파라미터!$B$16-B68*파라미터!$B$7-MAX(0,파라미터!$B$19+파라미터!$B$20-MIN(파라미터!$B$15,파라미터!$B$5*(IF(B68&gt;=1,파라미터!$B$10,0)+IF(B68&gt;=2,파라미터!$B$11,0)+IF(B68&gt;=3,파라미터!$B$12,0))))-IF(MOD($A68-1,파라미터!$B$22)=0,파라미터!$B$21,0)</f>
        <v/>
      </c>
      <c r="D68" s="15">
        <f>MAX(0,D67+C68)</f>
        <v/>
      </c>
      <c r="E68" s="14">
        <f>IF(OR($A68&lt;파라미터!$B$6,MOD($A68,파라미터!$B$6)&gt;=2),0,INT((2-MOD($A68,파라미터!$B$6)-1)/파라미터!$B$6)+1)</f>
        <v/>
      </c>
      <c r="F68" s="15">
        <f>((E68*파라미터!$B$5-파라미터!$B$5*(IF(E68&gt;=1,파라미터!$B$10,0)+IF(E68&gt;=2,파라미터!$B$11,0)+IF(E68&gt;=3,파라미터!$B$12,0)))+MAX(0,파라미터!$B$5*(IF(E68&gt;=1,파라미터!$B$10,0)+IF(E68&gt;=2,파라미터!$B$11,0)+IF(E68&gt;=3,파라미터!$B$12,0))-파라미터!$B$15))*파라미터!$B$16-E68*파라미터!$B$7-MAX(0,파라미터!$B$19+파라미터!$B$20-MIN(파라미터!$B$15,파라미터!$B$5*(IF(E68&gt;=1,파라미터!$B$10,0)+IF(E68&gt;=2,파라미터!$B$11,0)+IF(E68&gt;=3,파라미터!$B$12,0))))-IF(MOD($A68-1,파라미터!$B$22)=0,파라미터!$B$21,0)</f>
        <v/>
      </c>
      <c r="G68" s="15">
        <f>MAX(0,G67+F68)</f>
        <v/>
      </c>
      <c r="H68" s="14">
        <f>IF(OR($A68&lt;파라미터!$B$6,MOD($A68,파라미터!$B$6)&gt;=3),0,INT((3-MOD($A68,파라미터!$B$6)-1)/파라미터!$B$6)+1)</f>
        <v/>
      </c>
      <c r="I68" s="15">
        <f>((H68*파라미터!$B$5-파라미터!$B$5*(IF(H68&gt;=1,파라미터!$B$10,0)+IF(H68&gt;=2,파라미터!$B$11,0)+IF(H68&gt;=3,파라미터!$B$12,0)))+MAX(0,파라미터!$B$5*(IF(H68&gt;=1,파라미터!$B$10,0)+IF(H68&gt;=2,파라미터!$B$11,0)+IF(H68&gt;=3,파라미터!$B$12,0))-파라미터!$B$15))*파라미터!$B$16-H68*파라미터!$B$7-MAX(0,파라미터!$B$19+파라미터!$B$20-MIN(파라미터!$B$15,파라미터!$B$5*(IF(H68&gt;=1,파라미터!$B$10,0)+IF(H68&gt;=2,파라미터!$B$11,0)+IF(H68&gt;=3,파라미터!$B$12,0))))-IF(MOD($A68-1,파라미터!$B$22)=0,파라미터!$B$21,0)</f>
        <v/>
      </c>
      <c r="J68" s="15">
        <f>MAX(0,J67+I68)</f>
        <v/>
      </c>
      <c r="K68" s="14">
        <f>IF(OR($A68&lt;파라미터!$B$6,MOD($A68,파라미터!$B$6)&gt;=5),0,INT((5-MOD($A68,파라미터!$B$6)-1)/파라미터!$B$6)+1)</f>
        <v/>
      </c>
      <c r="L68" s="15">
        <f>((K68*파라미터!$B$5-파라미터!$B$5*(IF(K68&gt;=1,파라미터!$B$10,0)+IF(K68&gt;=2,파라미터!$B$11,0)+IF(K68&gt;=3,파라미터!$B$12,0)))+MAX(0,파라미터!$B$5*(IF(K68&gt;=1,파라미터!$B$10,0)+IF(K68&gt;=2,파라미터!$B$11,0)+IF(K68&gt;=3,파라미터!$B$12,0))-파라미터!$B$15))*파라미터!$B$16-K68*파라미터!$B$7-MAX(0,파라미터!$B$19+파라미터!$B$20-MIN(파라미터!$B$15,파라미터!$B$5*(IF(K68&gt;=1,파라미터!$B$10,0)+IF(K68&gt;=2,파라미터!$B$11,0)+IF(K68&gt;=3,파라미터!$B$12,0))))-IF(MOD($A68-1,파라미터!$B$22)=0,파라미터!$B$21,0)</f>
        <v/>
      </c>
      <c r="M68" s="15">
        <f>MAX(0,M67+L68)</f>
        <v/>
      </c>
      <c r="N68" s="14">
        <f>IF(OR($A68&lt;파라미터!$B$6,MOD($A68,파라미터!$B$6)&gt;=10),0,INT((10-MOD($A68,파라미터!$B$6)-1)/파라미터!$B$6)+1)</f>
        <v/>
      </c>
      <c r="O68" s="15">
        <f>((N68*파라미터!$B$5-파라미터!$B$5*(IF(N68&gt;=1,파라미터!$B$10,0)+IF(N68&gt;=2,파라미터!$B$11,0)+IF(N68&gt;=3,파라미터!$B$12,0)))+MAX(0,파라미터!$B$5*(IF(N68&gt;=1,파라미터!$B$10,0)+IF(N68&gt;=2,파라미터!$B$11,0)+IF(N68&gt;=3,파라미터!$B$12,0))-파라미터!$B$15))*파라미터!$B$16-N68*파라미터!$B$7-MAX(0,파라미터!$B$19+파라미터!$B$20-MIN(파라미터!$B$15,파라미터!$B$5*(IF(N68&gt;=1,파라미터!$B$10,0)+IF(N68&gt;=2,파라미터!$B$11,0)+IF(N68&gt;=3,파라미터!$B$12,0))))-IF(MOD($A68-1,파라미터!$B$22)=0,파라미터!$B$21,0)</f>
        <v/>
      </c>
      <c r="P68" s="15">
        <f>MAX(0,P67+O68)</f>
        <v/>
      </c>
      <c r="Q68" s="14">
        <f>IF(OR($A68&lt;파라미터!$B$6,MOD($A68,파라미터!$B$6)&gt;=20),0,INT((20-MOD($A68,파라미터!$B$6)-1)/파라미터!$B$6)+1)</f>
        <v/>
      </c>
      <c r="R68" s="15">
        <f>((Q68*파라미터!$B$5-파라미터!$B$5*(IF(Q68&gt;=1,파라미터!$B$10,0)+IF(Q68&gt;=2,파라미터!$B$11,0)+IF(Q68&gt;=3,파라미터!$B$12,0)))+MAX(0,파라미터!$B$5*(IF(Q68&gt;=1,파라미터!$B$10,0)+IF(Q68&gt;=2,파라미터!$B$11,0)+IF(Q68&gt;=3,파라미터!$B$12,0))-파라미터!$B$15))*파라미터!$B$16-Q68*파라미터!$B$7-MAX(0,파라미터!$B$19+파라미터!$B$20-MIN(파라미터!$B$15,파라미터!$B$5*(IF(Q68&gt;=1,파라미터!$B$10,0)+IF(Q68&gt;=2,파라미터!$B$11,0)+IF(Q68&gt;=3,파라미터!$B$12,0))))-IF(MOD($A68-1,파라미터!$B$22)=0,파라미터!$B$21,0)</f>
        <v/>
      </c>
      <c r="S68" s="15">
        <f>MAX(0,S67+R68)</f>
        <v/>
      </c>
    </row>
    <row r="69">
      <c r="A69" s="13" t="n">
        <v>65</v>
      </c>
      <c r="B69" s="14">
        <f>IF(OR($A69&lt;파라미터!$B$6,MOD($A69,파라미터!$B$6)&gt;=1),0,INT((1-MOD($A69,파라미터!$B$6)-1)/파라미터!$B$6)+1)</f>
        <v/>
      </c>
      <c r="C69" s="15">
        <f>((B69*파라미터!$B$5-파라미터!$B$5*(IF(B69&gt;=1,파라미터!$B$10,0)+IF(B69&gt;=2,파라미터!$B$11,0)+IF(B69&gt;=3,파라미터!$B$12,0)))+MAX(0,파라미터!$B$5*(IF(B69&gt;=1,파라미터!$B$10,0)+IF(B69&gt;=2,파라미터!$B$11,0)+IF(B69&gt;=3,파라미터!$B$12,0))-파라미터!$B$15))*파라미터!$B$16-B69*파라미터!$B$7-MAX(0,파라미터!$B$19+파라미터!$B$20-MIN(파라미터!$B$15,파라미터!$B$5*(IF(B69&gt;=1,파라미터!$B$10,0)+IF(B69&gt;=2,파라미터!$B$11,0)+IF(B69&gt;=3,파라미터!$B$12,0))))-IF(MOD($A69-1,파라미터!$B$22)=0,파라미터!$B$21,0)</f>
        <v/>
      </c>
      <c r="D69" s="15">
        <f>MAX(0,D68+C69)</f>
        <v/>
      </c>
      <c r="E69" s="14">
        <f>IF(OR($A69&lt;파라미터!$B$6,MOD($A69,파라미터!$B$6)&gt;=2),0,INT((2-MOD($A69,파라미터!$B$6)-1)/파라미터!$B$6)+1)</f>
        <v/>
      </c>
      <c r="F69" s="15">
        <f>((E69*파라미터!$B$5-파라미터!$B$5*(IF(E69&gt;=1,파라미터!$B$10,0)+IF(E69&gt;=2,파라미터!$B$11,0)+IF(E69&gt;=3,파라미터!$B$12,0)))+MAX(0,파라미터!$B$5*(IF(E69&gt;=1,파라미터!$B$10,0)+IF(E69&gt;=2,파라미터!$B$11,0)+IF(E69&gt;=3,파라미터!$B$12,0))-파라미터!$B$15))*파라미터!$B$16-E69*파라미터!$B$7-MAX(0,파라미터!$B$19+파라미터!$B$20-MIN(파라미터!$B$15,파라미터!$B$5*(IF(E69&gt;=1,파라미터!$B$10,0)+IF(E69&gt;=2,파라미터!$B$11,0)+IF(E69&gt;=3,파라미터!$B$12,0))))-IF(MOD($A69-1,파라미터!$B$22)=0,파라미터!$B$21,0)</f>
        <v/>
      </c>
      <c r="G69" s="15">
        <f>MAX(0,G68+F69)</f>
        <v/>
      </c>
      <c r="H69" s="14">
        <f>IF(OR($A69&lt;파라미터!$B$6,MOD($A69,파라미터!$B$6)&gt;=3),0,INT((3-MOD($A69,파라미터!$B$6)-1)/파라미터!$B$6)+1)</f>
        <v/>
      </c>
      <c r="I69" s="15">
        <f>((H69*파라미터!$B$5-파라미터!$B$5*(IF(H69&gt;=1,파라미터!$B$10,0)+IF(H69&gt;=2,파라미터!$B$11,0)+IF(H69&gt;=3,파라미터!$B$12,0)))+MAX(0,파라미터!$B$5*(IF(H69&gt;=1,파라미터!$B$10,0)+IF(H69&gt;=2,파라미터!$B$11,0)+IF(H69&gt;=3,파라미터!$B$12,0))-파라미터!$B$15))*파라미터!$B$16-H69*파라미터!$B$7-MAX(0,파라미터!$B$19+파라미터!$B$20-MIN(파라미터!$B$15,파라미터!$B$5*(IF(H69&gt;=1,파라미터!$B$10,0)+IF(H69&gt;=2,파라미터!$B$11,0)+IF(H69&gt;=3,파라미터!$B$12,0))))-IF(MOD($A69-1,파라미터!$B$22)=0,파라미터!$B$21,0)</f>
        <v/>
      </c>
      <c r="J69" s="15">
        <f>MAX(0,J68+I69)</f>
        <v/>
      </c>
      <c r="K69" s="14">
        <f>IF(OR($A69&lt;파라미터!$B$6,MOD($A69,파라미터!$B$6)&gt;=5),0,INT((5-MOD($A69,파라미터!$B$6)-1)/파라미터!$B$6)+1)</f>
        <v/>
      </c>
      <c r="L69" s="15">
        <f>((K69*파라미터!$B$5-파라미터!$B$5*(IF(K69&gt;=1,파라미터!$B$10,0)+IF(K69&gt;=2,파라미터!$B$11,0)+IF(K69&gt;=3,파라미터!$B$12,0)))+MAX(0,파라미터!$B$5*(IF(K69&gt;=1,파라미터!$B$10,0)+IF(K69&gt;=2,파라미터!$B$11,0)+IF(K69&gt;=3,파라미터!$B$12,0))-파라미터!$B$15))*파라미터!$B$16-K69*파라미터!$B$7-MAX(0,파라미터!$B$19+파라미터!$B$20-MIN(파라미터!$B$15,파라미터!$B$5*(IF(K69&gt;=1,파라미터!$B$10,0)+IF(K69&gt;=2,파라미터!$B$11,0)+IF(K69&gt;=3,파라미터!$B$12,0))))-IF(MOD($A69-1,파라미터!$B$22)=0,파라미터!$B$21,0)</f>
        <v/>
      </c>
      <c r="M69" s="15">
        <f>MAX(0,M68+L69)</f>
        <v/>
      </c>
      <c r="N69" s="14">
        <f>IF(OR($A69&lt;파라미터!$B$6,MOD($A69,파라미터!$B$6)&gt;=10),0,INT((10-MOD($A69,파라미터!$B$6)-1)/파라미터!$B$6)+1)</f>
        <v/>
      </c>
      <c r="O69" s="15">
        <f>((N69*파라미터!$B$5-파라미터!$B$5*(IF(N69&gt;=1,파라미터!$B$10,0)+IF(N69&gt;=2,파라미터!$B$11,0)+IF(N69&gt;=3,파라미터!$B$12,0)))+MAX(0,파라미터!$B$5*(IF(N69&gt;=1,파라미터!$B$10,0)+IF(N69&gt;=2,파라미터!$B$11,0)+IF(N69&gt;=3,파라미터!$B$12,0))-파라미터!$B$15))*파라미터!$B$16-N69*파라미터!$B$7-MAX(0,파라미터!$B$19+파라미터!$B$20-MIN(파라미터!$B$15,파라미터!$B$5*(IF(N69&gt;=1,파라미터!$B$10,0)+IF(N69&gt;=2,파라미터!$B$11,0)+IF(N69&gt;=3,파라미터!$B$12,0))))-IF(MOD($A69-1,파라미터!$B$22)=0,파라미터!$B$21,0)</f>
        <v/>
      </c>
      <c r="P69" s="15">
        <f>MAX(0,P68+O69)</f>
        <v/>
      </c>
      <c r="Q69" s="14">
        <f>IF(OR($A69&lt;파라미터!$B$6,MOD($A69,파라미터!$B$6)&gt;=20),0,INT((20-MOD($A69,파라미터!$B$6)-1)/파라미터!$B$6)+1)</f>
        <v/>
      </c>
      <c r="R69" s="15">
        <f>((Q69*파라미터!$B$5-파라미터!$B$5*(IF(Q69&gt;=1,파라미터!$B$10,0)+IF(Q69&gt;=2,파라미터!$B$11,0)+IF(Q69&gt;=3,파라미터!$B$12,0)))+MAX(0,파라미터!$B$5*(IF(Q69&gt;=1,파라미터!$B$10,0)+IF(Q69&gt;=2,파라미터!$B$11,0)+IF(Q69&gt;=3,파라미터!$B$12,0))-파라미터!$B$15))*파라미터!$B$16-Q69*파라미터!$B$7-MAX(0,파라미터!$B$19+파라미터!$B$20-MIN(파라미터!$B$15,파라미터!$B$5*(IF(Q69&gt;=1,파라미터!$B$10,0)+IF(Q69&gt;=2,파라미터!$B$11,0)+IF(Q69&gt;=3,파라미터!$B$12,0))))-IF(MOD($A69-1,파라미터!$B$22)=0,파라미터!$B$21,0)</f>
        <v/>
      </c>
      <c r="S69" s="15">
        <f>MAX(0,S68+R69)</f>
        <v/>
      </c>
    </row>
    <row r="70">
      <c r="A70" s="13" t="n">
        <v>66</v>
      </c>
      <c r="B70" s="14">
        <f>IF(OR($A70&lt;파라미터!$B$6,MOD($A70,파라미터!$B$6)&gt;=1),0,INT((1-MOD($A70,파라미터!$B$6)-1)/파라미터!$B$6)+1)</f>
        <v/>
      </c>
      <c r="C70" s="15">
        <f>((B70*파라미터!$B$5-파라미터!$B$5*(IF(B70&gt;=1,파라미터!$B$10,0)+IF(B70&gt;=2,파라미터!$B$11,0)+IF(B70&gt;=3,파라미터!$B$12,0)))+MAX(0,파라미터!$B$5*(IF(B70&gt;=1,파라미터!$B$10,0)+IF(B70&gt;=2,파라미터!$B$11,0)+IF(B70&gt;=3,파라미터!$B$12,0))-파라미터!$B$15))*파라미터!$B$16-B70*파라미터!$B$7-MAX(0,파라미터!$B$19+파라미터!$B$20-MIN(파라미터!$B$15,파라미터!$B$5*(IF(B70&gt;=1,파라미터!$B$10,0)+IF(B70&gt;=2,파라미터!$B$11,0)+IF(B70&gt;=3,파라미터!$B$12,0))))-IF(MOD($A70-1,파라미터!$B$22)=0,파라미터!$B$21,0)</f>
        <v/>
      </c>
      <c r="D70" s="15">
        <f>MAX(0,D69+C70)</f>
        <v/>
      </c>
      <c r="E70" s="14">
        <f>IF(OR($A70&lt;파라미터!$B$6,MOD($A70,파라미터!$B$6)&gt;=2),0,INT((2-MOD($A70,파라미터!$B$6)-1)/파라미터!$B$6)+1)</f>
        <v/>
      </c>
      <c r="F70" s="15">
        <f>((E70*파라미터!$B$5-파라미터!$B$5*(IF(E70&gt;=1,파라미터!$B$10,0)+IF(E70&gt;=2,파라미터!$B$11,0)+IF(E70&gt;=3,파라미터!$B$12,0)))+MAX(0,파라미터!$B$5*(IF(E70&gt;=1,파라미터!$B$10,0)+IF(E70&gt;=2,파라미터!$B$11,0)+IF(E70&gt;=3,파라미터!$B$12,0))-파라미터!$B$15))*파라미터!$B$16-E70*파라미터!$B$7-MAX(0,파라미터!$B$19+파라미터!$B$20-MIN(파라미터!$B$15,파라미터!$B$5*(IF(E70&gt;=1,파라미터!$B$10,0)+IF(E70&gt;=2,파라미터!$B$11,0)+IF(E70&gt;=3,파라미터!$B$12,0))))-IF(MOD($A70-1,파라미터!$B$22)=0,파라미터!$B$21,0)</f>
        <v/>
      </c>
      <c r="G70" s="15">
        <f>MAX(0,G69+F70)</f>
        <v/>
      </c>
      <c r="H70" s="14">
        <f>IF(OR($A70&lt;파라미터!$B$6,MOD($A70,파라미터!$B$6)&gt;=3),0,INT((3-MOD($A70,파라미터!$B$6)-1)/파라미터!$B$6)+1)</f>
        <v/>
      </c>
      <c r="I70" s="15">
        <f>((H70*파라미터!$B$5-파라미터!$B$5*(IF(H70&gt;=1,파라미터!$B$10,0)+IF(H70&gt;=2,파라미터!$B$11,0)+IF(H70&gt;=3,파라미터!$B$12,0)))+MAX(0,파라미터!$B$5*(IF(H70&gt;=1,파라미터!$B$10,0)+IF(H70&gt;=2,파라미터!$B$11,0)+IF(H70&gt;=3,파라미터!$B$12,0))-파라미터!$B$15))*파라미터!$B$16-H70*파라미터!$B$7-MAX(0,파라미터!$B$19+파라미터!$B$20-MIN(파라미터!$B$15,파라미터!$B$5*(IF(H70&gt;=1,파라미터!$B$10,0)+IF(H70&gt;=2,파라미터!$B$11,0)+IF(H70&gt;=3,파라미터!$B$12,0))))-IF(MOD($A70-1,파라미터!$B$22)=0,파라미터!$B$21,0)</f>
        <v/>
      </c>
      <c r="J70" s="15">
        <f>MAX(0,J69+I70)</f>
        <v/>
      </c>
      <c r="K70" s="14">
        <f>IF(OR($A70&lt;파라미터!$B$6,MOD($A70,파라미터!$B$6)&gt;=5),0,INT((5-MOD($A70,파라미터!$B$6)-1)/파라미터!$B$6)+1)</f>
        <v/>
      </c>
      <c r="L70" s="15">
        <f>((K70*파라미터!$B$5-파라미터!$B$5*(IF(K70&gt;=1,파라미터!$B$10,0)+IF(K70&gt;=2,파라미터!$B$11,0)+IF(K70&gt;=3,파라미터!$B$12,0)))+MAX(0,파라미터!$B$5*(IF(K70&gt;=1,파라미터!$B$10,0)+IF(K70&gt;=2,파라미터!$B$11,0)+IF(K70&gt;=3,파라미터!$B$12,0))-파라미터!$B$15))*파라미터!$B$16-K70*파라미터!$B$7-MAX(0,파라미터!$B$19+파라미터!$B$20-MIN(파라미터!$B$15,파라미터!$B$5*(IF(K70&gt;=1,파라미터!$B$10,0)+IF(K70&gt;=2,파라미터!$B$11,0)+IF(K70&gt;=3,파라미터!$B$12,0))))-IF(MOD($A70-1,파라미터!$B$22)=0,파라미터!$B$21,0)</f>
        <v/>
      </c>
      <c r="M70" s="15">
        <f>MAX(0,M69+L70)</f>
        <v/>
      </c>
      <c r="N70" s="14">
        <f>IF(OR($A70&lt;파라미터!$B$6,MOD($A70,파라미터!$B$6)&gt;=10),0,INT((10-MOD($A70,파라미터!$B$6)-1)/파라미터!$B$6)+1)</f>
        <v/>
      </c>
      <c r="O70" s="15">
        <f>((N70*파라미터!$B$5-파라미터!$B$5*(IF(N70&gt;=1,파라미터!$B$10,0)+IF(N70&gt;=2,파라미터!$B$11,0)+IF(N70&gt;=3,파라미터!$B$12,0)))+MAX(0,파라미터!$B$5*(IF(N70&gt;=1,파라미터!$B$10,0)+IF(N70&gt;=2,파라미터!$B$11,0)+IF(N70&gt;=3,파라미터!$B$12,0))-파라미터!$B$15))*파라미터!$B$16-N70*파라미터!$B$7-MAX(0,파라미터!$B$19+파라미터!$B$20-MIN(파라미터!$B$15,파라미터!$B$5*(IF(N70&gt;=1,파라미터!$B$10,0)+IF(N70&gt;=2,파라미터!$B$11,0)+IF(N70&gt;=3,파라미터!$B$12,0))))-IF(MOD($A70-1,파라미터!$B$22)=0,파라미터!$B$21,0)</f>
        <v/>
      </c>
      <c r="P70" s="15">
        <f>MAX(0,P69+O70)</f>
        <v/>
      </c>
      <c r="Q70" s="14">
        <f>IF(OR($A70&lt;파라미터!$B$6,MOD($A70,파라미터!$B$6)&gt;=20),0,INT((20-MOD($A70,파라미터!$B$6)-1)/파라미터!$B$6)+1)</f>
        <v/>
      </c>
      <c r="R70" s="15">
        <f>((Q70*파라미터!$B$5-파라미터!$B$5*(IF(Q70&gt;=1,파라미터!$B$10,0)+IF(Q70&gt;=2,파라미터!$B$11,0)+IF(Q70&gt;=3,파라미터!$B$12,0)))+MAX(0,파라미터!$B$5*(IF(Q70&gt;=1,파라미터!$B$10,0)+IF(Q70&gt;=2,파라미터!$B$11,0)+IF(Q70&gt;=3,파라미터!$B$12,0))-파라미터!$B$15))*파라미터!$B$16-Q70*파라미터!$B$7-MAX(0,파라미터!$B$19+파라미터!$B$20-MIN(파라미터!$B$15,파라미터!$B$5*(IF(Q70&gt;=1,파라미터!$B$10,0)+IF(Q70&gt;=2,파라미터!$B$11,0)+IF(Q70&gt;=3,파라미터!$B$12,0))))-IF(MOD($A70-1,파라미터!$B$22)=0,파라미터!$B$21,0)</f>
        <v/>
      </c>
      <c r="S70" s="15">
        <f>MAX(0,S69+R70)</f>
        <v/>
      </c>
    </row>
    <row r="71">
      <c r="A71" s="13" t="n">
        <v>67</v>
      </c>
      <c r="B71" s="14">
        <f>IF(OR($A71&lt;파라미터!$B$6,MOD($A71,파라미터!$B$6)&gt;=1),0,INT((1-MOD($A71,파라미터!$B$6)-1)/파라미터!$B$6)+1)</f>
        <v/>
      </c>
      <c r="C71" s="15">
        <f>((B71*파라미터!$B$5-파라미터!$B$5*(IF(B71&gt;=1,파라미터!$B$10,0)+IF(B71&gt;=2,파라미터!$B$11,0)+IF(B71&gt;=3,파라미터!$B$12,0)))+MAX(0,파라미터!$B$5*(IF(B71&gt;=1,파라미터!$B$10,0)+IF(B71&gt;=2,파라미터!$B$11,0)+IF(B71&gt;=3,파라미터!$B$12,0))-파라미터!$B$15))*파라미터!$B$16-B71*파라미터!$B$7-MAX(0,파라미터!$B$19+파라미터!$B$20-MIN(파라미터!$B$15,파라미터!$B$5*(IF(B71&gt;=1,파라미터!$B$10,0)+IF(B71&gt;=2,파라미터!$B$11,0)+IF(B71&gt;=3,파라미터!$B$12,0))))-IF(MOD($A71-1,파라미터!$B$22)=0,파라미터!$B$21,0)</f>
        <v/>
      </c>
      <c r="D71" s="15">
        <f>MAX(0,D70+C71)</f>
        <v/>
      </c>
      <c r="E71" s="14">
        <f>IF(OR($A71&lt;파라미터!$B$6,MOD($A71,파라미터!$B$6)&gt;=2),0,INT((2-MOD($A71,파라미터!$B$6)-1)/파라미터!$B$6)+1)</f>
        <v/>
      </c>
      <c r="F71" s="15">
        <f>((E71*파라미터!$B$5-파라미터!$B$5*(IF(E71&gt;=1,파라미터!$B$10,0)+IF(E71&gt;=2,파라미터!$B$11,0)+IF(E71&gt;=3,파라미터!$B$12,0)))+MAX(0,파라미터!$B$5*(IF(E71&gt;=1,파라미터!$B$10,0)+IF(E71&gt;=2,파라미터!$B$11,0)+IF(E71&gt;=3,파라미터!$B$12,0))-파라미터!$B$15))*파라미터!$B$16-E71*파라미터!$B$7-MAX(0,파라미터!$B$19+파라미터!$B$20-MIN(파라미터!$B$15,파라미터!$B$5*(IF(E71&gt;=1,파라미터!$B$10,0)+IF(E71&gt;=2,파라미터!$B$11,0)+IF(E71&gt;=3,파라미터!$B$12,0))))-IF(MOD($A71-1,파라미터!$B$22)=0,파라미터!$B$21,0)</f>
        <v/>
      </c>
      <c r="G71" s="15">
        <f>MAX(0,G70+F71)</f>
        <v/>
      </c>
      <c r="H71" s="14">
        <f>IF(OR($A71&lt;파라미터!$B$6,MOD($A71,파라미터!$B$6)&gt;=3),0,INT((3-MOD($A71,파라미터!$B$6)-1)/파라미터!$B$6)+1)</f>
        <v/>
      </c>
      <c r="I71" s="15">
        <f>((H71*파라미터!$B$5-파라미터!$B$5*(IF(H71&gt;=1,파라미터!$B$10,0)+IF(H71&gt;=2,파라미터!$B$11,0)+IF(H71&gt;=3,파라미터!$B$12,0)))+MAX(0,파라미터!$B$5*(IF(H71&gt;=1,파라미터!$B$10,0)+IF(H71&gt;=2,파라미터!$B$11,0)+IF(H71&gt;=3,파라미터!$B$12,0))-파라미터!$B$15))*파라미터!$B$16-H71*파라미터!$B$7-MAX(0,파라미터!$B$19+파라미터!$B$20-MIN(파라미터!$B$15,파라미터!$B$5*(IF(H71&gt;=1,파라미터!$B$10,0)+IF(H71&gt;=2,파라미터!$B$11,0)+IF(H71&gt;=3,파라미터!$B$12,0))))-IF(MOD($A71-1,파라미터!$B$22)=0,파라미터!$B$21,0)</f>
        <v/>
      </c>
      <c r="J71" s="15">
        <f>MAX(0,J70+I71)</f>
        <v/>
      </c>
      <c r="K71" s="14">
        <f>IF(OR($A71&lt;파라미터!$B$6,MOD($A71,파라미터!$B$6)&gt;=5),0,INT((5-MOD($A71,파라미터!$B$6)-1)/파라미터!$B$6)+1)</f>
        <v/>
      </c>
      <c r="L71" s="15">
        <f>((K71*파라미터!$B$5-파라미터!$B$5*(IF(K71&gt;=1,파라미터!$B$10,0)+IF(K71&gt;=2,파라미터!$B$11,0)+IF(K71&gt;=3,파라미터!$B$12,0)))+MAX(0,파라미터!$B$5*(IF(K71&gt;=1,파라미터!$B$10,0)+IF(K71&gt;=2,파라미터!$B$11,0)+IF(K71&gt;=3,파라미터!$B$12,0))-파라미터!$B$15))*파라미터!$B$16-K71*파라미터!$B$7-MAX(0,파라미터!$B$19+파라미터!$B$20-MIN(파라미터!$B$15,파라미터!$B$5*(IF(K71&gt;=1,파라미터!$B$10,0)+IF(K71&gt;=2,파라미터!$B$11,0)+IF(K71&gt;=3,파라미터!$B$12,0))))-IF(MOD($A71-1,파라미터!$B$22)=0,파라미터!$B$21,0)</f>
        <v/>
      </c>
      <c r="M71" s="15">
        <f>MAX(0,M70+L71)</f>
        <v/>
      </c>
      <c r="N71" s="14">
        <f>IF(OR($A71&lt;파라미터!$B$6,MOD($A71,파라미터!$B$6)&gt;=10),0,INT((10-MOD($A71,파라미터!$B$6)-1)/파라미터!$B$6)+1)</f>
        <v/>
      </c>
      <c r="O71" s="15">
        <f>((N71*파라미터!$B$5-파라미터!$B$5*(IF(N71&gt;=1,파라미터!$B$10,0)+IF(N71&gt;=2,파라미터!$B$11,0)+IF(N71&gt;=3,파라미터!$B$12,0)))+MAX(0,파라미터!$B$5*(IF(N71&gt;=1,파라미터!$B$10,0)+IF(N71&gt;=2,파라미터!$B$11,0)+IF(N71&gt;=3,파라미터!$B$12,0))-파라미터!$B$15))*파라미터!$B$16-N71*파라미터!$B$7-MAX(0,파라미터!$B$19+파라미터!$B$20-MIN(파라미터!$B$15,파라미터!$B$5*(IF(N71&gt;=1,파라미터!$B$10,0)+IF(N71&gt;=2,파라미터!$B$11,0)+IF(N71&gt;=3,파라미터!$B$12,0))))-IF(MOD($A71-1,파라미터!$B$22)=0,파라미터!$B$21,0)</f>
        <v/>
      </c>
      <c r="P71" s="15">
        <f>MAX(0,P70+O71)</f>
        <v/>
      </c>
      <c r="Q71" s="14">
        <f>IF(OR($A71&lt;파라미터!$B$6,MOD($A71,파라미터!$B$6)&gt;=20),0,INT((20-MOD($A71,파라미터!$B$6)-1)/파라미터!$B$6)+1)</f>
        <v/>
      </c>
      <c r="R71" s="15">
        <f>((Q71*파라미터!$B$5-파라미터!$B$5*(IF(Q71&gt;=1,파라미터!$B$10,0)+IF(Q71&gt;=2,파라미터!$B$11,0)+IF(Q71&gt;=3,파라미터!$B$12,0)))+MAX(0,파라미터!$B$5*(IF(Q71&gt;=1,파라미터!$B$10,0)+IF(Q71&gt;=2,파라미터!$B$11,0)+IF(Q71&gt;=3,파라미터!$B$12,0))-파라미터!$B$15))*파라미터!$B$16-Q71*파라미터!$B$7-MAX(0,파라미터!$B$19+파라미터!$B$20-MIN(파라미터!$B$15,파라미터!$B$5*(IF(Q71&gt;=1,파라미터!$B$10,0)+IF(Q71&gt;=2,파라미터!$B$11,0)+IF(Q71&gt;=3,파라미터!$B$12,0))))-IF(MOD($A71-1,파라미터!$B$22)=0,파라미터!$B$21,0)</f>
        <v/>
      </c>
      <c r="S71" s="15">
        <f>MAX(0,S70+R71)</f>
        <v/>
      </c>
    </row>
    <row r="72">
      <c r="A72" s="13" t="n">
        <v>68</v>
      </c>
      <c r="B72" s="14">
        <f>IF(OR($A72&lt;파라미터!$B$6,MOD($A72,파라미터!$B$6)&gt;=1),0,INT((1-MOD($A72,파라미터!$B$6)-1)/파라미터!$B$6)+1)</f>
        <v/>
      </c>
      <c r="C72" s="15">
        <f>((B72*파라미터!$B$5-파라미터!$B$5*(IF(B72&gt;=1,파라미터!$B$10,0)+IF(B72&gt;=2,파라미터!$B$11,0)+IF(B72&gt;=3,파라미터!$B$12,0)))+MAX(0,파라미터!$B$5*(IF(B72&gt;=1,파라미터!$B$10,0)+IF(B72&gt;=2,파라미터!$B$11,0)+IF(B72&gt;=3,파라미터!$B$12,0))-파라미터!$B$15))*파라미터!$B$16-B72*파라미터!$B$7-MAX(0,파라미터!$B$19+파라미터!$B$20-MIN(파라미터!$B$15,파라미터!$B$5*(IF(B72&gt;=1,파라미터!$B$10,0)+IF(B72&gt;=2,파라미터!$B$11,0)+IF(B72&gt;=3,파라미터!$B$12,0))))-IF(MOD($A72-1,파라미터!$B$22)=0,파라미터!$B$21,0)</f>
        <v/>
      </c>
      <c r="D72" s="15">
        <f>MAX(0,D71+C72)</f>
        <v/>
      </c>
      <c r="E72" s="14">
        <f>IF(OR($A72&lt;파라미터!$B$6,MOD($A72,파라미터!$B$6)&gt;=2),0,INT((2-MOD($A72,파라미터!$B$6)-1)/파라미터!$B$6)+1)</f>
        <v/>
      </c>
      <c r="F72" s="15">
        <f>((E72*파라미터!$B$5-파라미터!$B$5*(IF(E72&gt;=1,파라미터!$B$10,0)+IF(E72&gt;=2,파라미터!$B$11,0)+IF(E72&gt;=3,파라미터!$B$12,0)))+MAX(0,파라미터!$B$5*(IF(E72&gt;=1,파라미터!$B$10,0)+IF(E72&gt;=2,파라미터!$B$11,0)+IF(E72&gt;=3,파라미터!$B$12,0))-파라미터!$B$15))*파라미터!$B$16-E72*파라미터!$B$7-MAX(0,파라미터!$B$19+파라미터!$B$20-MIN(파라미터!$B$15,파라미터!$B$5*(IF(E72&gt;=1,파라미터!$B$10,0)+IF(E72&gt;=2,파라미터!$B$11,0)+IF(E72&gt;=3,파라미터!$B$12,0))))-IF(MOD($A72-1,파라미터!$B$22)=0,파라미터!$B$21,0)</f>
        <v/>
      </c>
      <c r="G72" s="15">
        <f>MAX(0,G71+F72)</f>
        <v/>
      </c>
      <c r="H72" s="14">
        <f>IF(OR($A72&lt;파라미터!$B$6,MOD($A72,파라미터!$B$6)&gt;=3),0,INT((3-MOD($A72,파라미터!$B$6)-1)/파라미터!$B$6)+1)</f>
        <v/>
      </c>
      <c r="I72" s="15">
        <f>((H72*파라미터!$B$5-파라미터!$B$5*(IF(H72&gt;=1,파라미터!$B$10,0)+IF(H72&gt;=2,파라미터!$B$11,0)+IF(H72&gt;=3,파라미터!$B$12,0)))+MAX(0,파라미터!$B$5*(IF(H72&gt;=1,파라미터!$B$10,0)+IF(H72&gt;=2,파라미터!$B$11,0)+IF(H72&gt;=3,파라미터!$B$12,0))-파라미터!$B$15))*파라미터!$B$16-H72*파라미터!$B$7-MAX(0,파라미터!$B$19+파라미터!$B$20-MIN(파라미터!$B$15,파라미터!$B$5*(IF(H72&gt;=1,파라미터!$B$10,0)+IF(H72&gt;=2,파라미터!$B$11,0)+IF(H72&gt;=3,파라미터!$B$12,0))))-IF(MOD($A72-1,파라미터!$B$22)=0,파라미터!$B$21,0)</f>
        <v/>
      </c>
      <c r="J72" s="15">
        <f>MAX(0,J71+I72)</f>
        <v/>
      </c>
      <c r="K72" s="14">
        <f>IF(OR($A72&lt;파라미터!$B$6,MOD($A72,파라미터!$B$6)&gt;=5),0,INT((5-MOD($A72,파라미터!$B$6)-1)/파라미터!$B$6)+1)</f>
        <v/>
      </c>
      <c r="L72" s="15">
        <f>((K72*파라미터!$B$5-파라미터!$B$5*(IF(K72&gt;=1,파라미터!$B$10,0)+IF(K72&gt;=2,파라미터!$B$11,0)+IF(K72&gt;=3,파라미터!$B$12,0)))+MAX(0,파라미터!$B$5*(IF(K72&gt;=1,파라미터!$B$10,0)+IF(K72&gt;=2,파라미터!$B$11,0)+IF(K72&gt;=3,파라미터!$B$12,0))-파라미터!$B$15))*파라미터!$B$16-K72*파라미터!$B$7-MAX(0,파라미터!$B$19+파라미터!$B$20-MIN(파라미터!$B$15,파라미터!$B$5*(IF(K72&gt;=1,파라미터!$B$10,0)+IF(K72&gt;=2,파라미터!$B$11,0)+IF(K72&gt;=3,파라미터!$B$12,0))))-IF(MOD($A72-1,파라미터!$B$22)=0,파라미터!$B$21,0)</f>
        <v/>
      </c>
      <c r="M72" s="15">
        <f>MAX(0,M71+L72)</f>
        <v/>
      </c>
      <c r="N72" s="14">
        <f>IF(OR($A72&lt;파라미터!$B$6,MOD($A72,파라미터!$B$6)&gt;=10),0,INT((10-MOD($A72,파라미터!$B$6)-1)/파라미터!$B$6)+1)</f>
        <v/>
      </c>
      <c r="O72" s="15">
        <f>((N72*파라미터!$B$5-파라미터!$B$5*(IF(N72&gt;=1,파라미터!$B$10,0)+IF(N72&gt;=2,파라미터!$B$11,0)+IF(N72&gt;=3,파라미터!$B$12,0)))+MAX(0,파라미터!$B$5*(IF(N72&gt;=1,파라미터!$B$10,0)+IF(N72&gt;=2,파라미터!$B$11,0)+IF(N72&gt;=3,파라미터!$B$12,0))-파라미터!$B$15))*파라미터!$B$16-N72*파라미터!$B$7-MAX(0,파라미터!$B$19+파라미터!$B$20-MIN(파라미터!$B$15,파라미터!$B$5*(IF(N72&gt;=1,파라미터!$B$10,0)+IF(N72&gt;=2,파라미터!$B$11,0)+IF(N72&gt;=3,파라미터!$B$12,0))))-IF(MOD($A72-1,파라미터!$B$22)=0,파라미터!$B$21,0)</f>
        <v/>
      </c>
      <c r="P72" s="15">
        <f>MAX(0,P71+O72)</f>
        <v/>
      </c>
      <c r="Q72" s="14">
        <f>IF(OR($A72&lt;파라미터!$B$6,MOD($A72,파라미터!$B$6)&gt;=20),0,INT((20-MOD($A72,파라미터!$B$6)-1)/파라미터!$B$6)+1)</f>
        <v/>
      </c>
      <c r="R72" s="15">
        <f>((Q72*파라미터!$B$5-파라미터!$B$5*(IF(Q72&gt;=1,파라미터!$B$10,0)+IF(Q72&gt;=2,파라미터!$B$11,0)+IF(Q72&gt;=3,파라미터!$B$12,0)))+MAX(0,파라미터!$B$5*(IF(Q72&gt;=1,파라미터!$B$10,0)+IF(Q72&gt;=2,파라미터!$B$11,0)+IF(Q72&gt;=3,파라미터!$B$12,0))-파라미터!$B$15))*파라미터!$B$16-Q72*파라미터!$B$7-MAX(0,파라미터!$B$19+파라미터!$B$20-MIN(파라미터!$B$15,파라미터!$B$5*(IF(Q72&gt;=1,파라미터!$B$10,0)+IF(Q72&gt;=2,파라미터!$B$11,0)+IF(Q72&gt;=3,파라미터!$B$12,0))))-IF(MOD($A72-1,파라미터!$B$22)=0,파라미터!$B$21,0)</f>
        <v/>
      </c>
      <c r="S72" s="15">
        <f>MAX(0,S71+R72)</f>
        <v/>
      </c>
    </row>
    <row r="73">
      <c r="A73" s="13" t="n">
        <v>69</v>
      </c>
      <c r="B73" s="14">
        <f>IF(OR($A73&lt;파라미터!$B$6,MOD($A73,파라미터!$B$6)&gt;=1),0,INT((1-MOD($A73,파라미터!$B$6)-1)/파라미터!$B$6)+1)</f>
        <v/>
      </c>
      <c r="C73" s="15">
        <f>((B73*파라미터!$B$5-파라미터!$B$5*(IF(B73&gt;=1,파라미터!$B$10,0)+IF(B73&gt;=2,파라미터!$B$11,0)+IF(B73&gt;=3,파라미터!$B$12,0)))+MAX(0,파라미터!$B$5*(IF(B73&gt;=1,파라미터!$B$10,0)+IF(B73&gt;=2,파라미터!$B$11,0)+IF(B73&gt;=3,파라미터!$B$12,0))-파라미터!$B$15))*파라미터!$B$16-B73*파라미터!$B$7-MAX(0,파라미터!$B$19+파라미터!$B$20-MIN(파라미터!$B$15,파라미터!$B$5*(IF(B73&gt;=1,파라미터!$B$10,0)+IF(B73&gt;=2,파라미터!$B$11,0)+IF(B73&gt;=3,파라미터!$B$12,0))))-IF(MOD($A73-1,파라미터!$B$22)=0,파라미터!$B$21,0)</f>
        <v/>
      </c>
      <c r="D73" s="15">
        <f>MAX(0,D72+C73)</f>
        <v/>
      </c>
      <c r="E73" s="14">
        <f>IF(OR($A73&lt;파라미터!$B$6,MOD($A73,파라미터!$B$6)&gt;=2),0,INT((2-MOD($A73,파라미터!$B$6)-1)/파라미터!$B$6)+1)</f>
        <v/>
      </c>
      <c r="F73" s="15">
        <f>((E73*파라미터!$B$5-파라미터!$B$5*(IF(E73&gt;=1,파라미터!$B$10,0)+IF(E73&gt;=2,파라미터!$B$11,0)+IF(E73&gt;=3,파라미터!$B$12,0)))+MAX(0,파라미터!$B$5*(IF(E73&gt;=1,파라미터!$B$10,0)+IF(E73&gt;=2,파라미터!$B$11,0)+IF(E73&gt;=3,파라미터!$B$12,0))-파라미터!$B$15))*파라미터!$B$16-E73*파라미터!$B$7-MAX(0,파라미터!$B$19+파라미터!$B$20-MIN(파라미터!$B$15,파라미터!$B$5*(IF(E73&gt;=1,파라미터!$B$10,0)+IF(E73&gt;=2,파라미터!$B$11,0)+IF(E73&gt;=3,파라미터!$B$12,0))))-IF(MOD($A73-1,파라미터!$B$22)=0,파라미터!$B$21,0)</f>
        <v/>
      </c>
      <c r="G73" s="15">
        <f>MAX(0,G72+F73)</f>
        <v/>
      </c>
      <c r="H73" s="14">
        <f>IF(OR($A73&lt;파라미터!$B$6,MOD($A73,파라미터!$B$6)&gt;=3),0,INT((3-MOD($A73,파라미터!$B$6)-1)/파라미터!$B$6)+1)</f>
        <v/>
      </c>
      <c r="I73" s="15">
        <f>((H73*파라미터!$B$5-파라미터!$B$5*(IF(H73&gt;=1,파라미터!$B$10,0)+IF(H73&gt;=2,파라미터!$B$11,0)+IF(H73&gt;=3,파라미터!$B$12,0)))+MAX(0,파라미터!$B$5*(IF(H73&gt;=1,파라미터!$B$10,0)+IF(H73&gt;=2,파라미터!$B$11,0)+IF(H73&gt;=3,파라미터!$B$12,0))-파라미터!$B$15))*파라미터!$B$16-H73*파라미터!$B$7-MAX(0,파라미터!$B$19+파라미터!$B$20-MIN(파라미터!$B$15,파라미터!$B$5*(IF(H73&gt;=1,파라미터!$B$10,0)+IF(H73&gt;=2,파라미터!$B$11,0)+IF(H73&gt;=3,파라미터!$B$12,0))))-IF(MOD($A73-1,파라미터!$B$22)=0,파라미터!$B$21,0)</f>
        <v/>
      </c>
      <c r="J73" s="15">
        <f>MAX(0,J72+I73)</f>
        <v/>
      </c>
      <c r="K73" s="14">
        <f>IF(OR($A73&lt;파라미터!$B$6,MOD($A73,파라미터!$B$6)&gt;=5),0,INT((5-MOD($A73,파라미터!$B$6)-1)/파라미터!$B$6)+1)</f>
        <v/>
      </c>
      <c r="L73" s="15">
        <f>((K73*파라미터!$B$5-파라미터!$B$5*(IF(K73&gt;=1,파라미터!$B$10,0)+IF(K73&gt;=2,파라미터!$B$11,0)+IF(K73&gt;=3,파라미터!$B$12,0)))+MAX(0,파라미터!$B$5*(IF(K73&gt;=1,파라미터!$B$10,0)+IF(K73&gt;=2,파라미터!$B$11,0)+IF(K73&gt;=3,파라미터!$B$12,0))-파라미터!$B$15))*파라미터!$B$16-K73*파라미터!$B$7-MAX(0,파라미터!$B$19+파라미터!$B$20-MIN(파라미터!$B$15,파라미터!$B$5*(IF(K73&gt;=1,파라미터!$B$10,0)+IF(K73&gt;=2,파라미터!$B$11,0)+IF(K73&gt;=3,파라미터!$B$12,0))))-IF(MOD($A73-1,파라미터!$B$22)=0,파라미터!$B$21,0)</f>
        <v/>
      </c>
      <c r="M73" s="15">
        <f>MAX(0,M72+L73)</f>
        <v/>
      </c>
      <c r="N73" s="14">
        <f>IF(OR($A73&lt;파라미터!$B$6,MOD($A73,파라미터!$B$6)&gt;=10),0,INT((10-MOD($A73,파라미터!$B$6)-1)/파라미터!$B$6)+1)</f>
        <v/>
      </c>
      <c r="O73" s="15">
        <f>((N73*파라미터!$B$5-파라미터!$B$5*(IF(N73&gt;=1,파라미터!$B$10,0)+IF(N73&gt;=2,파라미터!$B$11,0)+IF(N73&gt;=3,파라미터!$B$12,0)))+MAX(0,파라미터!$B$5*(IF(N73&gt;=1,파라미터!$B$10,0)+IF(N73&gt;=2,파라미터!$B$11,0)+IF(N73&gt;=3,파라미터!$B$12,0))-파라미터!$B$15))*파라미터!$B$16-N73*파라미터!$B$7-MAX(0,파라미터!$B$19+파라미터!$B$20-MIN(파라미터!$B$15,파라미터!$B$5*(IF(N73&gt;=1,파라미터!$B$10,0)+IF(N73&gt;=2,파라미터!$B$11,0)+IF(N73&gt;=3,파라미터!$B$12,0))))-IF(MOD($A73-1,파라미터!$B$22)=0,파라미터!$B$21,0)</f>
        <v/>
      </c>
      <c r="P73" s="15">
        <f>MAX(0,P72+O73)</f>
        <v/>
      </c>
      <c r="Q73" s="14">
        <f>IF(OR($A73&lt;파라미터!$B$6,MOD($A73,파라미터!$B$6)&gt;=20),0,INT((20-MOD($A73,파라미터!$B$6)-1)/파라미터!$B$6)+1)</f>
        <v/>
      </c>
      <c r="R73" s="15">
        <f>((Q73*파라미터!$B$5-파라미터!$B$5*(IF(Q73&gt;=1,파라미터!$B$10,0)+IF(Q73&gt;=2,파라미터!$B$11,0)+IF(Q73&gt;=3,파라미터!$B$12,0)))+MAX(0,파라미터!$B$5*(IF(Q73&gt;=1,파라미터!$B$10,0)+IF(Q73&gt;=2,파라미터!$B$11,0)+IF(Q73&gt;=3,파라미터!$B$12,0))-파라미터!$B$15))*파라미터!$B$16-Q73*파라미터!$B$7-MAX(0,파라미터!$B$19+파라미터!$B$20-MIN(파라미터!$B$15,파라미터!$B$5*(IF(Q73&gt;=1,파라미터!$B$10,0)+IF(Q73&gt;=2,파라미터!$B$11,0)+IF(Q73&gt;=3,파라미터!$B$12,0))))-IF(MOD($A73-1,파라미터!$B$22)=0,파라미터!$B$21,0)</f>
        <v/>
      </c>
      <c r="S73" s="15">
        <f>MAX(0,S72+R73)</f>
        <v/>
      </c>
    </row>
    <row r="74">
      <c r="A74" s="13" t="n">
        <v>70</v>
      </c>
      <c r="B74" s="14">
        <f>IF(OR($A74&lt;파라미터!$B$6,MOD($A74,파라미터!$B$6)&gt;=1),0,INT((1-MOD($A74,파라미터!$B$6)-1)/파라미터!$B$6)+1)</f>
        <v/>
      </c>
      <c r="C74" s="15">
        <f>((B74*파라미터!$B$5-파라미터!$B$5*(IF(B74&gt;=1,파라미터!$B$10,0)+IF(B74&gt;=2,파라미터!$B$11,0)+IF(B74&gt;=3,파라미터!$B$12,0)))+MAX(0,파라미터!$B$5*(IF(B74&gt;=1,파라미터!$B$10,0)+IF(B74&gt;=2,파라미터!$B$11,0)+IF(B74&gt;=3,파라미터!$B$12,0))-파라미터!$B$15))*파라미터!$B$16-B74*파라미터!$B$7-MAX(0,파라미터!$B$19+파라미터!$B$20-MIN(파라미터!$B$15,파라미터!$B$5*(IF(B74&gt;=1,파라미터!$B$10,0)+IF(B74&gt;=2,파라미터!$B$11,0)+IF(B74&gt;=3,파라미터!$B$12,0))))-IF(MOD($A74-1,파라미터!$B$22)=0,파라미터!$B$21,0)</f>
        <v/>
      </c>
      <c r="D74" s="15">
        <f>MAX(0,D73+C74)</f>
        <v/>
      </c>
      <c r="E74" s="14">
        <f>IF(OR($A74&lt;파라미터!$B$6,MOD($A74,파라미터!$B$6)&gt;=2),0,INT((2-MOD($A74,파라미터!$B$6)-1)/파라미터!$B$6)+1)</f>
        <v/>
      </c>
      <c r="F74" s="15">
        <f>((E74*파라미터!$B$5-파라미터!$B$5*(IF(E74&gt;=1,파라미터!$B$10,0)+IF(E74&gt;=2,파라미터!$B$11,0)+IF(E74&gt;=3,파라미터!$B$12,0)))+MAX(0,파라미터!$B$5*(IF(E74&gt;=1,파라미터!$B$10,0)+IF(E74&gt;=2,파라미터!$B$11,0)+IF(E74&gt;=3,파라미터!$B$12,0))-파라미터!$B$15))*파라미터!$B$16-E74*파라미터!$B$7-MAX(0,파라미터!$B$19+파라미터!$B$20-MIN(파라미터!$B$15,파라미터!$B$5*(IF(E74&gt;=1,파라미터!$B$10,0)+IF(E74&gt;=2,파라미터!$B$11,0)+IF(E74&gt;=3,파라미터!$B$12,0))))-IF(MOD($A74-1,파라미터!$B$22)=0,파라미터!$B$21,0)</f>
        <v/>
      </c>
      <c r="G74" s="15">
        <f>MAX(0,G73+F74)</f>
        <v/>
      </c>
      <c r="H74" s="14">
        <f>IF(OR($A74&lt;파라미터!$B$6,MOD($A74,파라미터!$B$6)&gt;=3),0,INT((3-MOD($A74,파라미터!$B$6)-1)/파라미터!$B$6)+1)</f>
        <v/>
      </c>
      <c r="I74" s="15">
        <f>((H74*파라미터!$B$5-파라미터!$B$5*(IF(H74&gt;=1,파라미터!$B$10,0)+IF(H74&gt;=2,파라미터!$B$11,0)+IF(H74&gt;=3,파라미터!$B$12,0)))+MAX(0,파라미터!$B$5*(IF(H74&gt;=1,파라미터!$B$10,0)+IF(H74&gt;=2,파라미터!$B$11,0)+IF(H74&gt;=3,파라미터!$B$12,0))-파라미터!$B$15))*파라미터!$B$16-H74*파라미터!$B$7-MAX(0,파라미터!$B$19+파라미터!$B$20-MIN(파라미터!$B$15,파라미터!$B$5*(IF(H74&gt;=1,파라미터!$B$10,0)+IF(H74&gt;=2,파라미터!$B$11,0)+IF(H74&gt;=3,파라미터!$B$12,0))))-IF(MOD($A74-1,파라미터!$B$22)=0,파라미터!$B$21,0)</f>
        <v/>
      </c>
      <c r="J74" s="15">
        <f>MAX(0,J73+I74)</f>
        <v/>
      </c>
      <c r="K74" s="14">
        <f>IF(OR($A74&lt;파라미터!$B$6,MOD($A74,파라미터!$B$6)&gt;=5),0,INT((5-MOD($A74,파라미터!$B$6)-1)/파라미터!$B$6)+1)</f>
        <v/>
      </c>
      <c r="L74" s="15">
        <f>((K74*파라미터!$B$5-파라미터!$B$5*(IF(K74&gt;=1,파라미터!$B$10,0)+IF(K74&gt;=2,파라미터!$B$11,0)+IF(K74&gt;=3,파라미터!$B$12,0)))+MAX(0,파라미터!$B$5*(IF(K74&gt;=1,파라미터!$B$10,0)+IF(K74&gt;=2,파라미터!$B$11,0)+IF(K74&gt;=3,파라미터!$B$12,0))-파라미터!$B$15))*파라미터!$B$16-K74*파라미터!$B$7-MAX(0,파라미터!$B$19+파라미터!$B$20-MIN(파라미터!$B$15,파라미터!$B$5*(IF(K74&gt;=1,파라미터!$B$10,0)+IF(K74&gt;=2,파라미터!$B$11,0)+IF(K74&gt;=3,파라미터!$B$12,0))))-IF(MOD($A74-1,파라미터!$B$22)=0,파라미터!$B$21,0)</f>
        <v/>
      </c>
      <c r="M74" s="15">
        <f>MAX(0,M73+L74)</f>
        <v/>
      </c>
      <c r="N74" s="14">
        <f>IF(OR($A74&lt;파라미터!$B$6,MOD($A74,파라미터!$B$6)&gt;=10),0,INT((10-MOD($A74,파라미터!$B$6)-1)/파라미터!$B$6)+1)</f>
        <v/>
      </c>
      <c r="O74" s="15">
        <f>((N74*파라미터!$B$5-파라미터!$B$5*(IF(N74&gt;=1,파라미터!$B$10,0)+IF(N74&gt;=2,파라미터!$B$11,0)+IF(N74&gt;=3,파라미터!$B$12,0)))+MAX(0,파라미터!$B$5*(IF(N74&gt;=1,파라미터!$B$10,0)+IF(N74&gt;=2,파라미터!$B$11,0)+IF(N74&gt;=3,파라미터!$B$12,0))-파라미터!$B$15))*파라미터!$B$16-N74*파라미터!$B$7-MAX(0,파라미터!$B$19+파라미터!$B$20-MIN(파라미터!$B$15,파라미터!$B$5*(IF(N74&gt;=1,파라미터!$B$10,0)+IF(N74&gt;=2,파라미터!$B$11,0)+IF(N74&gt;=3,파라미터!$B$12,0))))-IF(MOD($A74-1,파라미터!$B$22)=0,파라미터!$B$21,0)</f>
        <v/>
      </c>
      <c r="P74" s="15">
        <f>MAX(0,P73+O74)</f>
        <v/>
      </c>
      <c r="Q74" s="14">
        <f>IF(OR($A74&lt;파라미터!$B$6,MOD($A74,파라미터!$B$6)&gt;=20),0,INT((20-MOD($A74,파라미터!$B$6)-1)/파라미터!$B$6)+1)</f>
        <v/>
      </c>
      <c r="R74" s="15">
        <f>((Q74*파라미터!$B$5-파라미터!$B$5*(IF(Q74&gt;=1,파라미터!$B$10,0)+IF(Q74&gt;=2,파라미터!$B$11,0)+IF(Q74&gt;=3,파라미터!$B$12,0)))+MAX(0,파라미터!$B$5*(IF(Q74&gt;=1,파라미터!$B$10,0)+IF(Q74&gt;=2,파라미터!$B$11,0)+IF(Q74&gt;=3,파라미터!$B$12,0))-파라미터!$B$15))*파라미터!$B$16-Q74*파라미터!$B$7-MAX(0,파라미터!$B$19+파라미터!$B$20-MIN(파라미터!$B$15,파라미터!$B$5*(IF(Q74&gt;=1,파라미터!$B$10,0)+IF(Q74&gt;=2,파라미터!$B$11,0)+IF(Q74&gt;=3,파라미터!$B$12,0))))-IF(MOD($A74-1,파라미터!$B$22)=0,파라미터!$B$21,0)</f>
        <v/>
      </c>
      <c r="S74" s="15">
        <f>MAX(0,S73+R74)</f>
        <v/>
      </c>
    </row>
    <row r="75">
      <c r="A75" s="13" t="n">
        <v>71</v>
      </c>
      <c r="B75" s="14">
        <f>IF(OR($A75&lt;파라미터!$B$6,MOD($A75,파라미터!$B$6)&gt;=1),0,INT((1-MOD($A75,파라미터!$B$6)-1)/파라미터!$B$6)+1)</f>
        <v/>
      </c>
      <c r="C75" s="15">
        <f>((B75*파라미터!$B$5-파라미터!$B$5*(IF(B75&gt;=1,파라미터!$B$10,0)+IF(B75&gt;=2,파라미터!$B$11,0)+IF(B75&gt;=3,파라미터!$B$12,0)))+MAX(0,파라미터!$B$5*(IF(B75&gt;=1,파라미터!$B$10,0)+IF(B75&gt;=2,파라미터!$B$11,0)+IF(B75&gt;=3,파라미터!$B$12,0))-파라미터!$B$15))*파라미터!$B$16-B75*파라미터!$B$7-MAX(0,파라미터!$B$19+파라미터!$B$20-MIN(파라미터!$B$15,파라미터!$B$5*(IF(B75&gt;=1,파라미터!$B$10,0)+IF(B75&gt;=2,파라미터!$B$11,0)+IF(B75&gt;=3,파라미터!$B$12,0))))-IF(MOD($A75-1,파라미터!$B$22)=0,파라미터!$B$21,0)</f>
        <v/>
      </c>
      <c r="D75" s="15">
        <f>MAX(0,D74+C75)</f>
        <v/>
      </c>
      <c r="E75" s="14">
        <f>IF(OR($A75&lt;파라미터!$B$6,MOD($A75,파라미터!$B$6)&gt;=2),0,INT((2-MOD($A75,파라미터!$B$6)-1)/파라미터!$B$6)+1)</f>
        <v/>
      </c>
      <c r="F75" s="15">
        <f>((E75*파라미터!$B$5-파라미터!$B$5*(IF(E75&gt;=1,파라미터!$B$10,0)+IF(E75&gt;=2,파라미터!$B$11,0)+IF(E75&gt;=3,파라미터!$B$12,0)))+MAX(0,파라미터!$B$5*(IF(E75&gt;=1,파라미터!$B$10,0)+IF(E75&gt;=2,파라미터!$B$11,0)+IF(E75&gt;=3,파라미터!$B$12,0))-파라미터!$B$15))*파라미터!$B$16-E75*파라미터!$B$7-MAX(0,파라미터!$B$19+파라미터!$B$20-MIN(파라미터!$B$15,파라미터!$B$5*(IF(E75&gt;=1,파라미터!$B$10,0)+IF(E75&gt;=2,파라미터!$B$11,0)+IF(E75&gt;=3,파라미터!$B$12,0))))-IF(MOD($A75-1,파라미터!$B$22)=0,파라미터!$B$21,0)</f>
        <v/>
      </c>
      <c r="G75" s="15">
        <f>MAX(0,G74+F75)</f>
        <v/>
      </c>
      <c r="H75" s="14">
        <f>IF(OR($A75&lt;파라미터!$B$6,MOD($A75,파라미터!$B$6)&gt;=3),0,INT((3-MOD($A75,파라미터!$B$6)-1)/파라미터!$B$6)+1)</f>
        <v/>
      </c>
      <c r="I75" s="15">
        <f>((H75*파라미터!$B$5-파라미터!$B$5*(IF(H75&gt;=1,파라미터!$B$10,0)+IF(H75&gt;=2,파라미터!$B$11,0)+IF(H75&gt;=3,파라미터!$B$12,0)))+MAX(0,파라미터!$B$5*(IF(H75&gt;=1,파라미터!$B$10,0)+IF(H75&gt;=2,파라미터!$B$11,0)+IF(H75&gt;=3,파라미터!$B$12,0))-파라미터!$B$15))*파라미터!$B$16-H75*파라미터!$B$7-MAX(0,파라미터!$B$19+파라미터!$B$20-MIN(파라미터!$B$15,파라미터!$B$5*(IF(H75&gt;=1,파라미터!$B$10,0)+IF(H75&gt;=2,파라미터!$B$11,0)+IF(H75&gt;=3,파라미터!$B$12,0))))-IF(MOD($A75-1,파라미터!$B$22)=0,파라미터!$B$21,0)</f>
        <v/>
      </c>
      <c r="J75" s="15">
        <f>MAX(0,J74+I75)</f>
        <v/>
      </c>
      <c r="K75" s="14">
        <f>IF(OR($A75&lt;파라미터!$B$6,MOD($A75,파라미터!$B$6)&gt;=5),0,INT((5-MOD($A75,파라미터!$B$6)-1)/파라미터!$B$6)+1)</f>
        <v/>
      </c>
      <c r="L75" s="15">
        <f>((K75*파라미터!$B$5-파라미터!$B$5*(IF(K75&gt;=1,파라미터!$B$10,0)+IF(K75&gt;=2,파라미터!$B$11,0)+IF(K75&gt;=3,파라미터!$B$12,0)))+MAX(0,파라미터!$B$5*(IF(K75&gt;=1,파라미터!$B$10,0)+IF(K75&gt;=2,파라미터!$B$11,0)+IF(K75&gt;=3,파라미터!$B$12,0))-파라미터!$B$15))*파라미터!$B$16-K75*파라미터!$B$7-MAX(0,파라미터!$B$19+파라미터!$B$20-MIN(파라미터!$B$15,파라미터!$B$5*(IF(K75&gt;=1,파라미터!$B$10,0)+IF(K75&gt;=2,파라미터!$B$11,0)+IF(K75&gt;=3,파라미터!$B$12,0))))-IF(MOD($A75-1,파라미터!$B$22)=0,파라미터!$B$21,0)</f>
        <v/>
      </c>
      <c r="M75" s="15">
        <f>MAX(0,M74+L75)</f>
        <v/>
      </c>
      <c r="N75" s="14">
        <f>IF(OR($A75&lt;파라미터!$B$6,MOD($A75,파라미터!$B$6)&gt;=10),0,INT((10-MOD($A75,파라미터!$B$6)-1)/파라미터!$B$6)+1)</f>
        <v/>
      </c>
      <c r="O75" s="15">
        <f>((N75*파라미터!$B$5-파라미터!$B$5*(IF(N75&gt;=1,파라미터!$B$10,0)+IF(N75&gt;=2,파라미터!$B$11,0)+IF(N75&gt;=3,파라미터!$B$12,0)))+MAX(0,파라미터!$B$5*(IF(N75&gt;=1,파라미터!$B$10,0)+IF(N75&gt;=2,파라미터!$B$11,0)+IF(N75&gt;=3,파라미터!$B$12,0))-파라미터!$B$15))*파라미터!$B$16-N75*파라미터!$B$7-MAX(0,파라미터!$B$19+파라미터!$B$20-MIN(파라미터!$B$15,파라미터!$B$5*(IF(N75&gt;=1,파라미터!$B$10,0)+IF(N75&gt;=2,파라미터!$B$11,0)+IF(N75&gt;=3,파라미터!$B$12,0))))-IF(MOD($A75-1,파라미터!$B$22)=0,파라미터!$B$21,0)</f>
        <v/>
      </c>
      <c r="P75" s="15">
        <f>MAX(0,P74+O75)</f>
        <v/>
      </c>
      <c r="Q75" s="14">
        <f>IF(OR($A75&lt;파라미터!$B$6,MOD($A75,파라미터!$B$6)&gt;=20),0,INT((20-MOD($A75,파라미터!$B$6)-1)/파라미터!$B$6)+1)</f>
        <v/>
      </c>
      <c r="R75" s="15">
        <f>((Q75*파라미터!$B$5-파라미터!$B$5*(IF(Q75&gt;=1,파라미터!$B$10,0)+IF(Q75&gt;=2,파라미터!$B$11,0)+IF(Q75&gt;=3,파라미터!$B$12,0)))+MAX(0,파라미터!$B$5*(IF(Q75&gt;=1,파라미터!$B$10,0)+IF(Q75&gt;=2,파라미터!$B$11,0)+IF(Q75&gt;=3,파라미터!$B$12,0))-파라미터!$B$15))*파라미터!$B$16-Q75*파라미터!$B$7-MAX(0,파라미터!$B$19+파라미터!$B$20-MIN(파라미터!$B$15,파라미터!$B$5*(IF(Q75&gt;=1,파라미터!$B$10,0)+IF(Q75&gt;=2,파라미터!$B$11,0)+IF(Q75&gt;=3,파라미터!$B$12,0))))-IF(MOD($A75-1,파라미터!$B$22)=0,파라미터!$B$21,0)</f>
        <v/>
      </c>
      <c r="S75" s="15">
        <f>MAX(0,S74+R75)</f>
        <v/>
      </c>
    </row>
    <row r="76">
      <c r="A76" s="13" t="n">
        <v>72</v>
      </c>
      <c r="B76" s="14">
        <f>IF(OR($A76&lt;파라미터!$B$6,MOD($A76,파라미터!$B$6)&gt;=1),0,INT((1-MOD($A76,파라미터!$B$6)-1)/파라미터!$B$6)+1)</f>
        <v/>
      </c>
      <c r="C76" s="15">
        <f>((B76*파라미터!$B$5-파라미터!$B$5*(IF(B76&gt;=1,파라미터!$B$10,0)+IF(B76&gt;=2,파라미터!$B$11,0)+IF(B76&gt;=3,파라미터!$B$12,0)))+MAX(0,파라미터!$B$5*(IF(B76&gt;=1,파라미터!$B$10,0)+IF(B76&gt;=2,파라미터!$B$11,0)+IF(B76&gt;=3,파라미터!$B$12,0))-파라미터!$B$15))*파라미터!$B$16-B76*파라미터!$B$7-MAX(0,파라미터!$B$19+파라미터!$B$20-MIN(파라미터!$B$15,파라미터!$B$5*(IF(B76&gt;=1,파라미터!$B$10,0)+IF(B76&gt;=2,파라미터!$B$11,0)+IF(B76&gt;=3,파라미터!$B$12,0))))-IF(MOD($A76-1,파라미터!$B$22)=0,파라미터!$B$21,0)</f>
        <v/>
      </c>
      <c r="D76" s="15">
        <f>MAX(0,D75+C76)</f>
        <v/>
      </c>
      <c r="E76" s="14">
        <f>IF(OR($A76&lt;파라미터!$B$6,MOD($A76,파라미터!$B$6)&gt;=2),0,INT((2-MOD($A76,파라미터!$B$6)-1)/파라미터!$B$6)+1)</f>
        <v/>
      </c>
      <c r="F76" s="15">
        <f>((E76*파라미터!$B$5-파라미터!$B$5*(IF(E76&gt;=1,파라미터!$B$10,0)+IF(E76&gt;=2,파라미터!$B$11,0)+IF(E76&gt;=3,파라미터!$B$12,0)))+MAX(0,파라미터!$B$5*(IF(E76&gt;=1,파라미터!$B$10,0)+IF(E76&gt;=2,파라미터!$B$11,0)+IF(E76&gt;=3,파라미터!$B$12,0))-파라미터!$B$15))*파라미터!$B$16-E76*파라미터!$B$7-MAX(0,파라미터!$B$19+파라미터!$B$20-MIN(파라미터!$B$15,파라미터!$B$5*(IF(E76&gt;=1,파라미터!$B$10,0)+IF(E76&gt;=2,파라미터!$B$11,0)+IF(E76&gt;=3,파라미터!$B$12,0))))-IF(MOD($A76-1,파라미터!$B$22)=0,파라미터!$B$21,0)</f>
        <v/>
      </c>
      <c r="G76" s="15">
        <f>MAX(0,G75+F76)</f>
        <v/>
      </c>
      <c r="H76" s="14">
        <f>IF(OR($A76&lt;파라미터!$B$6,MOD($A76,파라미터!$B$6)&gt;=3),0,INT((3-MOD($A76,파라미터!$B$6)-1)/파라미터!$B$6)+1)</f>
        <v/>
      </c>
      <c r="I76" s="15">
        <f>((H76*파라미터!$B$5-파라미터!$B$5*(IF(H76&gt;=1,파라미터!$B$10,0)+IF(H76&gt;=2,파라미터!$B$11,0)+IF(H76&gt;=3,파라미터!$B$12,0)))+MAX(0,파라미터!$B$5*(IF(H76&gt;=1,파라미터!$B$10,0)+IF(H76&gt;=2,파라미터!$B$11,0)+IF(H76&gt;=3,파라미터!$B$12,0))-파라미터!$B$15))*파라미터!$B$16-H76*파라미터!$B$7-MAX(0,파라미터!$B$19+파라미터!$B$20-MIN(파라미터!$B$15,파라미터!$B$5*(IF(H76&gt;=1,파라미터!$B$10,0)+IF(H76&gt;=2,파라미터!$B$11,0)+IF(H76&gt;=3,파라미터!$B$12,0))))-IF(MOD($A76-1,파라미터!$B$22)=0,파라미터!$B$21,0)</f>
        <v/>
      </c>
      <c r="J76" s="15">
        <f>MAX(0,J75+I76)</f>
        <v/>
      </c>
      <c r="K76" s="14">
        <f>IF(OR($A76&lt;파라미터!$B$6,MOD($A76,파라미터!$B$6)&gt;=5),0,INT((5-MOD($A76,파라미터!$B$6)-1)/파라미터!$B$6)+1)</f>
        <v/>
      </c>
      <c r="L76" s="15">
        <f>((K76*파라미터!$B$5-파라미터!$B$5*(IF(K76&gt;=1,파라미터!$B$10,0)+IF(K76&gt;=2,파라미터!$B$11,0)+IF(K76&gt;=3,파라미터!$B$12,0)))+MAX(0,파라미터!$B$5*(IF(K76&gt;=1,파라미터!$B$10,0)+IF(K76&gt;=2,파라미터!$B$11,0)+IF(K76&gt;=3,파라미터!$B$12,0))-파라미터!$B$15))*파라미터!$B$16-K76*파라미터!$B$7-MAX(0,파라미터!$B$19+파라미터!$B$20-MIN(파라미터!$B$15,파라미터!$B$5*(IF(K76&gt;=1,파라미터!$B$10,0)+IF(K76&gt;=2,파라미터!$B$11,0)+IF(K76&gt;=3,파라미터!$B$12,0))))-IF(MOD($A76-1,파라미터!$B$22)=0,파라미터!$B$21,0)</f>
        <v/>
      </c>
      <c r="M76" s="15">
        <f>MAX(0,M75+L76)</f>
        <v/>
      </c>
      <c r="N76" s="14">
        <f>IF(OR($A76&lt;파라미터!$B$6,MOD($A76,파라미터!$B$6)&gt;=10),0,INT((10-MOD($A76,파라미터!$B$6)-1)/파라미터!$B$6)+1)</f>
        <v/>
      </c>
      <c r="O76" s="15">
        <f>((N76*파라미터!$B$5-파라미터!$B$5*(IF(N76&gt;=1,파라미터!$B$10,0)+IF(N76&gt;=2,파라미터!$B$11,0)+IF(N76&gt;=3,파라미터!$B$12,0)))+MAX(0,파라미터!$B$5*(IF(N76&gt;=1,파라미터!$B$10,0)+IF(N76&gt;=2,파라미터!$B$11,0)+IF(N76&gt;=3,파라미터!$B$12,0))-파라미터!$B$15))*파라미터!$B$16-N76*파라미터!$B$7-MAX(0,파라미터!$B$19+파라미터!$B$20-MIN(파라미터!$B$15,파라미터!$B$5*(IF(N76&gt;=1,파라미터!$B$10,0)+IF(N76&gt;=2,파라미터!$B$11,0)+IF(N76&gt;=3,파라미터!$B$12,0))))-IF(MOD($A76-1,파라미터!$B$22)=0,파라미터!$B$21,0)</f>
        <v/>
      </c>
      <c r="P76" s="15">
        <f>MAX(0,P75+O76)</f>
        <v/>
      </c>
      <c r="Q76" s="14">
        <f>IF(OR($A76&lt;파라미터!$B$6,MOD($A76,파라미터!$B$6)&gt;=20),0,INT((20-MOD($A76,파라미터!$B$6)-1)/파라미터!$B$6)+1)</f>
        <v/>
      </c>
      <c r="R76" s="15">
        <f>((Q76*파라미터!$B$5-파라미터!$B$5*(IF(Q76&gt;=1,파라미터!$B$10,0)+IF(Q76&gt;=2,파라미터!$B$11,0)+IF(Q76&gt;=3,파라미터!$B$12,0)))+MAX(0,파라미터!$B$5*(IF(Q76&gt;=1,파라미터!$B$10,0)+IF(Q76&gt;=2,파라미터!$B$11,0)+IF(Q76&gt;=3,파라미터!$B$12,0))-파라미터!$B$15))*파라미터!$B$16-Q76*파라미터!$B$7-MAX(0,파라미터!$B$19+파라미터!$B$20-MIN(파라미터!$B$15,파라미터!$B$5*(IF(Q76&gt;=1,파라미터!$B$10,0)+IF(Q76&gt;=2,파라미터!$B$11,0)+IF(Q76&gt;=3,파라미터!$B$12,0))))-IF(MOD($A76-1,파라미터!$B$22)=0,파라미터!$B$21,0)</f>
        <v/>
      </c>
      <c r="S76" s="15">
        <f>MAX(0,S75+R76)</f>
        <v/>
      </c>
    </row>
    <row r="77">
      <c r="A77" s="13" t="n">
        <v>73</v>
      </c>
      <c r="B77" s="14">
        <f>IF(OR($A77&lt;파라미터!$B$6,MOD($A77,파라미터!$B$6)&gt;=1),0,INT((1-MOD($A77,파라미터!$B$6)-1)/파라미터!$B$6)+1)</f>
        <v/>
      </c>
      <c r="C77" s="15">
        <f>((B77*파라미터!$B$5-파라미터!$B$5*(IF(B77&gt;=1,파라미터!$B$10,0)+IF(B77&gt;=2,파라미터!$B$11,0)+IF(B77&gt;=3,파라미터!$B$12,0)))+MAX(0,파라미터!$B$5*(IF(B77&gt;=1,파라미터!$B$10,0)+IF(B77&gt;=2,파라미터!$B$11,0)+IF(B77&gt;=3,파라미터!$B$12,0))-파라미터!$B$15))*파라미터!$B$16-B77*파라미터!$B$7-MAX(0,파라미터!$B$19+파라미터!$B$20-MIN(파라미터!$B$15,파라미터!$B$5*(IF(B77&gt;=1,파라미터!$B$10,0)+IF(B77&gt;=2,파라미터!$B$11,0)+IF(B77&gt;=3,파라미터!$B$12,0))))-IF(MOD($A77-1,파라미터!$B$22)=0,파라미터!$B$21,0)</f>
        <v/>
      </c>
      <c r="D77" s="15">
        <f>MAX(0,D76+C77)</f>
        <v/>
      </c>
      <c r="E77" s="14">
        <f>IF(OR($A77&lt;파라미터!$B$6,MOD($A77,파라미터!$B$6)&gt;=2),0,INT((2-MOD($A77,파라미터!$B$6)-1)/파라미터!$B$6)+1)</f>
        <v/>
      </c>
      <c r="F77" s="15">
        <f>((E77*파라미터!$B$5-파라미터!$B$5*(IF(E77&gt;=1,파라미터!$B$10,0)+IF(E77&gt;=2,파라미터!$B$11,0)+IF(E77&gt;=3,파라미터!$B$12,0)))+MAX(0,파라미터!$B$5*(IF(E77&gt;=1,파라미터!$B$10,0)+IF(E77&gt;=2,파라미터!$B$11,0)+IF(E77&gt;=3,파라미터!$B$12,0))-파라미터!$B$15))*파라미터!$B$16-E77*파라미터!$B$7-MAX(0,파라미터!$B$19+파라미터!$B$20-MIN(파라미터!$B$15,파라미터!$B$5*(IF(E77&gt;=1,파라미터!$B$10,0)+IF(E77&gt;=2,파라미터!$B$11,0)+IF(E77&gt;=3,파라미터!$B$12,0))))-IF(MOD($A77-1,파라미터!$B$22)=0,파라미터!$B$21,0)</f>
        <v/>
      </c>
      <c r="G77" s="15">
        <f>MAX(0,G76+F77)</f>
        <v/>
      </c>
      <c r="H77" s="14">
        <f>IF(OR($A77&lt;파라미터!$B$6,MOD($A77,파라미터!$B$6)&gt;=3),0,INT((3-MOD($A77,파라미터!$B$6)-1)/파라미터!$B$6)+1)</f>
        <v/>
      </c>
      <c r="I77" s="15">
        <f>((H77*파라미터!$B$5-파라미터!$B$5*(IF(H77&gt;=1,파라미터!$B$10,0)+IF(H77&gt;=2,파라미터!$B$11,0)+IF(H77&gt;=3,파라미터!$B$12,0)))+MAX(0,파라미터!$B$5*(IF(H77&gt;=1,파라미터!$B$10,0)+IF(H77&gt;=2,파라미터!$B$11,0)+IF(H77&gt;=3,파라미터!$B$12,0))-파라미터!$B$15))*파라미터!$B$16-H77*파라미터!$B$7-MAX(0,파라미터!$B$19+파라미터!$B$20-MIN(파라미터!$B$15,파라미터!$B$5*(IF(H77&gt;=1,파라미터!$B$10,0)+IF(H77&gt;=2,파라미터!$B$11,0)+IF(H77&gt;=3,파라미터!$B$12,0))))-IF(MOD($A77-1,파라미터!$B$22)=0,파라미터!$B$21,0)</f>
        <v/>
      </c>
      <c r="J77" s="15">
        <f>MAX(0,J76+I77)</f>
        <v/>
      </c>
      <c r="K77" s="14">
        <f>IF(OR($A77&lt;파라미터!$B$6,MOD($A77,파라미터!$B$6)&gt;=5),0,INT((5-MOD($A77,파라미터!$B$6)-1)/파라미터!$B$6)+1)</f>
        <v/>
      </c>
      <c r="L77" s="15">
        <f>((K77*파라미터!$B$5-파라미터!$B$5*(IF(K77&gt;=1,파라미터!$B$10,0)+IF(K77&gt;=2,파라미터!$B$11,0)+IF(K77&gt;=3,파라미터!$B$12,0)))+MAX(0,파라미터!$B$5*(IF(K77&gt;=1,파라미터!$B$10,0)+IF(K77&gt;=2,파라미터!$B$11,0)+IF(K77&gt;=3,파라미터!$B$12,0))-파라미터!$B$15))*파라미터!$B$16-K77*파라미터!$B$7-MAX(0,파라미터!$B$19+파라미터!$B$20-MIN(파라미터!$B$15,파라미터!$B$5*(IF(K77&gt;=1,파라미터!$B$10,0)+IF(K77&gt;=2,파라미터!$B$11,0)+IF(K77&gt;=3,파라미터!$B$12,0))))-IF(MOD($A77-1,파라미터!$B$22)=0,파라미터!$B$21,0)</f>
        <v/>
      </c>
      <c r="M77" s="15">
        <f>MAX(0,M76+L77)</f>
        <v/>
      </c>
      <c r="N77" s="14">
        <f>IF(OR($A77&lt;파라미터!$B$6,MOD($A77,파라미터!$B$6)&gt;=10),0,INT((10-MOD($A77,파라미터!$B$6)-1)/파라미터!$B$6)+1)</f>
        <v/>
      </c>
      <c r="O77" s="15">
        <f>((N77*파라미터!$B$5-파라미터!$B$5*(IF(N77&gt;=1,파라미터!$B$10,0)+IF(N77&gt;=2,파라미터!$B$11,0)+IF(N77&gt;=3,파라미터!$B$12,0)))+MAX(0,파라미터!$B$5*(IF(N77&gt;=1,파라미터!$B$10,0)+IF(N77&gt;=2,파라미터!$B$11,0)+IF(N77&gt;=3,파라미터!$B$12,0))-파라미터!$B$15))*파라미터!$B$16-N77*파라미터!$B$7-MAX(0,파라미터!$B$19+파라미터!$B$20-MIN(파라미터!$B$15,파라미터!$B$5*(IF(N77&gt;=1,파라미터!$B$10,0)+IF(N77&gt;=2,파라미터!$B$11,0)+IF(N77&gt;=3,파라미터!$B$12,0))))-IF(MOD($A77-1,파라미터!$B$22)=0,파라미터!$B$21,0)</f>
        <v/>
      </c>
      <c r="P77" s="15">
        <f>MAX(0,P76+O77)</f>
        <v/>
      </c>
      <c r="Q77" s="14">
        <f>IF(OR($A77&lt;파라미터!$B$6,MOD($A77,파라미터!$B$6)&gt;=20),0,INT((20-MOD($A77,파라미터!$B$6)-1)/파라미터!$B$6)+1)</f>
        <v/>
      </c>
      <c r="R77" s="15">
        <f>((Q77*파라미터!$B$5-파라미터!$B$5*(IF(Q77&gt;=1,파라미터!$B$10,0)+IF(Q77&gt;=2,파라미터!$B$11,0)+IF(Q77&gt;=3,파라미터!$B$12,0)))+MAX(0,파라미터!$B$5*(IF(Q77&gt;=1,파라미터!$B$10,0)+IF(Q77&gt;=2,파라미터!$B$11,0)+IF(Q77&gt;=3,파라미터!$B$12,0))-파라미터!$B$15))*파라미터!$B$16-Q77*파라미터!$B$7-MAX(0,파라미터!$B$19+파라미터!$B$20-MIN(파라미터!$B$15,파라미터!$B$5*(IF(Q77&gt;=1,파라미터!$B$10,0)+IF(Q77&gt;=2,파라미터!$B$11,0)+IF(Q77&gt;=3,파라미터!$B$12,0))))-IF(MOD($A77-1,파라미터!$B$22)=0,파라미터!$B$21,0)</f>
        <v/>
      </c>
      <c r="S77" s="15">
        <f>MAX(0,S76+R77)</f>
        <v/>
      </c>
    </row>
    <row r="78">
      <c r="A78" s="13" t="n">
        <v>74</v>
      </c>
      <c r="B78" s="14">
        <f>IF(OR($A78&lt;파라미터!$B$6,MOD($A78,파라미터!$B$6)&gt;=1),0,INT((1-MOD($A78,파라미터!$B$6)-1)/파라미터!$B$6)+1)</f>
        <v/>
      </c>
      <c r="C78" s="15">
        <f>((B78*파라미터!$B$5-파라미터!$B$5*(IF(B78&gt;=1,파라미터!$B$10,0)+IF(B78&gt;=2,파라미터!$B$11,0)+IF(B78&gt;=3,파라미터!$B$12,0)))+MAX(0,파라미터!$B$5*(IF(B78&gt;=1,파라미터!$B$10,0)+IF(B78&gt;=2,파라미터!$B$11,0)+IF(B78&gt;=3,파라미터!$B$12,0))-파라미터!$B$15))*파라미터!$B$16-B78*파라미터!$B$7-MAX(0,파라미터!$B$19+파라미터!$B$20-MIN(파라미터!$B$15,파라미터!$B$5*(IF(B78&gt;=1,파라미터!$B$10,0)+IF(B78&gt;=2,파라미터!$B$11,0)+IF(B78&gt;=3,파라미터!$B$12,0))))-IF(MOD($A78-1,파라미터!$B$22)=0,파라미터!$B$21,0)</f>
        <v/>
      </c>
      <c r="D78" s="15">
        <f>MAX(0,D77+C78)</f>
        <v/>
      </c>
      <c r="E78" s="14">
        <f>IF(OR($A78&lt;파라미터!$B$6,MOD($A78,파라미터!$B$6)&gt;=2),0,INT((2-MOD($A78,파라미터!$B$6)-1)/파라미터!$B$6)+1)</f>
        <v/>
      </c>
      <c r="F78" s="15">
        <f>((E78*파라미터!$B$5-파라미터!$B$5*(IF(E78&gt;=1,파라미터!$B$10,0)+IF(E78&gt;=2,파라미터!$B$11,0)+IF(E78&gt;=3,파라미터!$B$12,0)))+MAX(0,파라미터!$B$5*(IF(E78&gt;=1,파라미터!$B$10,0)+IF(E78&gt;=2,파라미터!$B$11,0)+IF(E78&gt;=3,파라미터!$B$12,0))-파라미터!$B$15))*파라미터!$B$16-E78*파라미터!$B$7-MAX(0,파라미터!$B$19+파라미터!$B$20-MIN(파라미터!$B$15,파라미터!$B$5*(IF(E78&gt;=1,파라미터!$B$10,0)+IF(E78&gt;=2,파라미터!$B$11,0)+IF(E78&gt;=3,파라미터!$B$12,0))))-IF(MOD($A78-1,파라미터!$B$22)=0,파라미터!$B$21,0)</f>
        <v/>
      </c>
      <c r="G78" s="15">
        <f>MAX(0,G77+F78)</f>
        <v/>
      </c>
      <c r="H78" s="14">
        <f>IF(OR($A78&lt;파라미터!$B$6,MOD($A78,파라미터!$B$6)&gt;=3),0,INT((3-MOD($A78,파라미터!$B$6)-1)/파라미터!$B$6)+1)</f>
        <v/>
      </c>
      <c r="I78" s="15">
        <f>((H78*파라미터!$B$5-파라미터!$B$5*(IF(H78&gt;=1,파라미터!$B$10,0)+IF(H78&gt;=2,파라미터!$B$11,0)+IF(H78&gt;=3,파라미터!$B$12,0)))+MAX(0,파라미터!$B$5*(IF(H78&gt;=1,파라미터!$B$10,0)+IF(H78&gt;=2,파라미터!$B$11,0)+IF(H78&gt;=3,파라미터!$B$12,0))-파라미터!$B$15))*파라미터!$B$16-H78*파라미터!$B$7-MAX(0,파라미터!$B$19+파라미터!$B$20-MIN(파라미터!$B$15,파라미터!$B$5*(IF(H78&gt;=1,파라미터!$B$10,0)+IF(H78&gt;=2,파라미터!$B$11,0)+IF(H78&gt;=3,파라미터!$B$12,0))))-IF(MOD($A78-1,파라미터!$B$22)=0,파라미터!$B$21,0)</f>
        <v/>
      </c>
      <c r="J78" s="15">
        <f>MAX(0,J77+I78)</f>
        <v/>
      </c>
      <c r="K78" s="14">
        <f>IF(OR($A78&lt;파라미터!$B$6,MOD($A78,파라미터!$B$6)&gt;=5),0,INT((5-MOD($A78,파라미터!$B$6)-1)/파라미터!$B$6)+1)</f>
        <v/>
      </c>
      <c r="L78" s="15">
        <f>((K78*파라미터!$B$5-파라미터!$B$5*(IF(K78&gt;=1,파라미터!$B$10,0)+IF(K78&gt;=2,파라미터!$B$11,0)+IF(K78&gt;=3,파라미터!$B$12,0)))+MAX(0,파라미터!$B$5*(IF(K78&gt;=1,파라미터!$B$10,0)+IF(K78&gt;=2,파라미터!$B$11,0)+IF(K78&gt;=3,파라미터!$B$12,0))-파라미터!$B$15))*파라미터!$B$16-K78*파라미터!$B$7-MAX(0,파라미터!$B$19+파라미터!$B$20-MIN(파라미터!$B$15,파라미터!$B$5*(IF(K78&gt;=1,파라미터!$B$10,0)+IF(K78&gt;=2,파라미터!$B$11,0)+IF(K78&gt;=3,파라미터!$B$12,0))))-IF(MOD($A78-1,파라미터!$B$22)=0,파라미터!$B$21,0)</f>
        <v/>
      </c>
      <c r="M78" s="15">
        <f>MAX(0,M77+L78)</f>
        <v/>
      </c>
      <c r="N78" s="14">
        <f>IF(OR($A78&lt;파라미터!$B$6,MOD($A78,파라미터!$B$6)&gt;=10),0,INT((10-MOD($A78,파라미터!$B$6)-1)/파라미터!$B$6)+1)</f>
        <v/>
      </c>
      <c r="O78" s="15">
        <f>((N78*파라미터!$B$5-파라미터!$B$5*(IF(N78&gt;=1,파라미터!$B$10,0)+IF(N78&gt;=2,파라미터!$B$11,0)+IF(N78&gt;=3,파라미터!$B$12,0)))+MAX(0,파라미터!$B$5*(IF(N78&gt;=1,파라미터!$B$10,0)+IF(N78&gt;=2,파라미터!$B$11,0)+IF(N78&gt;=3,파라미터!$B$12,0))-파라미터!$B$15))*파라미터!$B$16-N78*파라미터!$B$7-MAX(0,파라미터!$B$19+파라미터!$B$20-MIN(파라미터!$B$15,파라미터!$B$5*(IF(N78&gt;=1,파라미터!$B$10,0)+IF(N78&gt;=2,파라미터!$B$11,0)+IF(N78&gt;=3,파라미터!$B$12,0))))-IF(MOD($A78-1,파라미터!$B$22)=0,파라미터!$B$21,0)</f>
        <v/>
      </c>
      <c r="P78" s="15">
        <f>MAX(0,P77+O78)</f>
        <v/>
      </c>
      <c r="Q78" s="14">
        <f>IF(OR($A78&lt;파라미터!$B$6,MOD($A78,파라미터!$B$6)&gt;=20),0,INT((20-MOD($A78,파라미터!$B$6)-1)/파라미터!$B$6)+1)</f>
        <v/>
      </c>
      <c r="R78" s="15">
        <f>((Q78*파라미터!$B$5-파라미터!$B$5*(IF(Q78&gt;=1,파라미터!$B$10,0)+IF(Q78&gt;=2,파라미터!$B$11,0)+IF(Q78&gt;=3,파라미터!$B$12,0)))+MAX(0,파라미터!$B$5*(IF(Q78&gt;=1,파라미터!$B$10,0)+IF(Q78&gt;=2,파라미터!$B$11,0)+IF(Q78&gt;=3,파라미터!$B$12,0))-파라미터!$B$15))*파라미터!$B$16-Q78*파라미터!$B$7-MAX(0,파라미터!$B$19+파라미터!$B$20-MIN(파라미터!$B$15,파라미터!$B$5*(IF(Q78&gt;=1,파라미터!$B$10,0)+IF(Q78&gt;=2,파라미터!$B$11,0)+IF(Q78&gt;=3,파라미터!$B$12,0))))-IF(MOD($A78-1,파라미터!$B$22)=0,파라미터!$B$21,0)</f>
        <v/>
      </c>
      <c r="S78" s="15">
        <f>MAX(0,S77+R78)</f>
        <v/>
      </c>
    </row>
    <row r="79">
      <c r="A79" s="13" t="n">
        <v>75</v>
      </c>
      <c r="B79" s="14">
        <f>IF(OR($A79&lt;파라미터!$B$6,MOD($A79,파라미터!$B$6)&gt;=1),0,INT((1-MOD($A79,파라미터!$B$6)-1)/파라미터!$B$6)+1)</f>
        <v/>
      </c>
      <c r="C79" s="15">
        <f>((B79*파라미터!$B$5-파라미터!$B$5*(IF(B79&gt;=1,파라미터!$B$10,0)+IF(B79&gt;=2,파라미터!$B$11,0)+IF(B79&gt;=3,파라미터!$B$12,0)))+MAX(0,파라미터!$B$5*(IF(B79&gt;=1,파라미터!$B$10,0)+IF(B79&gt;=2,파라미터!$B$11,0)+IF(B79&gt;=3,파라미터!$B$12,0))-파라미터!$B$15))*파라미터!$B$16-B79*파라미터!$B$7-MAX(0,파라미터!$B$19+파라미터!$B$20-MIN(파라미터!$B$15,파라미터!$B$5*(IF(B79&gt;=1,파라미터!$B$10,0)+IF(B79&gt;=2,파라미터!$B$11,0)+IF(B79&gt;=3,파라미터!$B$12,0))))-IF(MOD($A79-1,파라미터!$B$22)=0,파라미터!$B$21,0)</f>
        <v/>
      </c>
      <c r="D79" s="15">
        <f>MAX(0,D78+C79)</f>
        <v/>
      </c>
      <c r="E79" s="14">
        <f>IF(OR($A79&lt;파라미터!$B$6,MOD($A79,파라미터!$B$6)&gt;=2),0,INT((2-MOD($A79,파라미터!$B$6)-1)/파라미터!$B$6)+1)</f>
        <v/>
      </c>
      <c r="F79" s="15">
        <f>((E79*파라미터!$B$5-파라미터!$B$5*(IF(E79&gt;=1,파라미터!$B$10,0)+IF(E79&gt;=2,파라미터!$B$11,0)+IF(E79&gt;=3,파라미터!$B$12,0)))+MAX(0,파라미터!$B$5*(IF(E79&gt;=1,파라미터!$B$10,0)+IF(E79&gt;=2,파라미터!$B$11,0)+IF(E79&gt;=3,파라미터!$B$12,0))-파라미터!$B$15))*파라미터!$B$16-E79*파라미터!$B$7-MAX(0,파라미터!$B$19+파라미터!$B$20-MIN(파라미터!$B$15,파라미터!$B$5*(IF(E79&gt;=1,파라미터!$B$10,0)+IF(E79&gt;=2,파라미터!$B$11,0)+IF(E79&gt;=3,파라미터!$B$12,0))))-IF(MOD($A79-1,파라미터!$B$22)=0,파라미터!$B$21,0)</f>
        <v/>
      </c>
      <c r="G79" s="15">
        <f>MAX(0,G78+F79)</f>
        <v/>
      </c>
      <c r="H79" s="14">
        <f>IF(OR($A79&lt;파라미터!$B$6,MOD($A79,파라미터!$B$6)&gt;=3),0,INT((3-MOD($A79,파라미터!$B$6)-1)/파라미터!$B$6)+1)</f>
        <v/>
      </c>
      <c r="I79" s="15">
        <f>((H79*파라미터!$B$5-파라미터!$B$5*(IF(H79&gt;=1,파라미터!$B$10,0)+IF(H79&gt;=2,파라미터!$B$11,0)+IF(H79&gt;=3,파라미터!$B$12,0)))+MAX(0,파라미터!$B$5*(IF(H79&gt;=1,파라미터!$B$10,0)+IF(H79&gt;=2,파라미터!$B$11,0)+IF(H79&gt;=3,파라미터!$B$12,0))-파라미터!$B$15))*파라미터!$B$16-H79*파라미터!$B$7-MAX(0,파라미터!$B$19+파라미터!$B$20-MIN(파라미터!$B$15,파라미터!$B$5*(IF(H79&gt;=1,파라미터!$B$10,0)+IF(H79&gt;=2,파라미터!$B$11,0)+IF(H79&gt;=3,파라미터!$B$12,0))))-IF(MOD($A79-1,파라미터!$B$22)=0,파라미터!$B$21,0)</f>
        <v/>
      </c>
      <c r="J79" s="15">
        <f>MAX(0,J78+I79)</f>
        <v/>
      </c>
      <c r="K79" s="14">
        <f>IF(OR($A79&lt;파라미터!$B$6,MOD($A79,파라미터!$B$6)&gt;=5),0,INT((5-MOD($A79,파라미터!$B$6)-1)/파라미터!$B$6)+1)</f>
        <v/>
      </c>
      <c r="L79" s="15">
        <f>((K79*파라미터!$B$5-파라미터!$B$5*(IF(K79&gt;=1,파라미터!$B$10,0)+IF(K79&gt;=2,파라미터!$B$11,0)+IF(K79&gt;=3,파라미터!$B$12,0)))+MAX(0,파라미터!$B$5*(IF(K79&gt;=1,파라미터!$B$10,0)+IF(K79&gt;=2,파라미터!$B$11,0)+IF(K79&gt;=3,파라미터!$B$12,0))-파라미터!$B$15))*파라미터!$B$16-K79*파라미터!$B$7-MAX(0,파라미터!$B$19+파라미터!$B$20-MIN(파라미터!$B$15,파라미터!$B$5*(IF(K79&gt;=1,파라미터!$B$10,0)+IF(K79&gt;=2,파라미터!$B$11,0)+IF(K79&gt;=3,파라미터!$B$12,0))))-IF(MOD($A79-1,파라미터!$B$22)=0,파라미터!$B$21,0)</f>
        <v/>
      </c>
      <c r="M79" s="15">
        <f>MAX(0,M78+L79)</f>
        <v/>
      </c>
      <c r="N79" s="14">
        <f>IF(OR($A79&lt;파라미터!$B$6,MOD($A79,파라미터!$B$6)&gt;=10),0,INT((10-MOD($A79,파라미터!$B$6)-1)/파라미터!$B$6)+1)</f>
        <v/>
      </c>
      <c r="O79" s="15">
        <f>((N79*파라미터!$B$5-파라미터!$B$5*(IF(N79&gt;=1,파라미터!$B$10,0)+IF(N79&gt;=2,파라미터!$B$11,0)+IF(N79&gt;=3,파라미터!$B$12,0)))+MAX(0,파라미터!$B$5*(IF(N79&gt;=1,파라미터!$B$10,0)+IF(N79&gt;=2,파라미터!$B$11,0)+IF(N79&gt;=3,파라미터!$B$12,0))-파라미터!$B$15))*파라미터!$B$16-N79*파라미터!$B$7-MAX(0,파라미터!$B$19+파라미터!$B$20-MIN(파라미터!$B$15,파라미터!$B$5*(IF(N79&gt;=1,파라미터!$B$10,0)+IF(N79&gt;=2,파라미터!$B$11,0)+IF(N79&gt;=3,파라미터!$B$12,0))))-IF(MOD($A79-1,파라미터!$B$22)=0,파라미터!$B$21,0)</f>
        <v/>
      </c>
      <c r="P79" s="15">
        <f>MAX(0,P78+O79)</f>
        <v/>
      </c>
      <c r="Q79" s="14">
        <f>IF(OR($A79&lt;파라미터!$B$6,MOD($A79,파라미터!$B$6)&gt;=20),0,INT((20-MOD($A79,파라미터!$B$6)-1)/파라미터!$B$6)+1)</f>
        <v/>
      </c>
      <c r="R79" s="15">
        <f>((Q79*파라미터!$B$5-파라미터!$B$5*(IF(Q79&gt;=1,파라미터!$B$10,0)+IF(Q79&gt;=2,파라미터!$B$11,0)+IF(Q79&gt;=3,파라미터!$B$12,0)))+MAX(0,파라미터!$B$5*(IF(Q79&gt;=1,파라미터!$B$10,0)+IF(Q79&gt;=2,파라미터!$B$11,0)+IF(Q79&gt;=3,파라미터!$B$12,0))-파라미터!$B$15))*파라미터!$B$16-Q79*파라미터!$B$7-MAX(0,파라미터!$B$19+파라미터!$B$20-MIN(파라미터!$B$15,파라미터!$B$5*(IF(Q79&gt;=1,파라미터!$B$10,0)+IF(Q79&gt;=2,파라미터!$B$11,0)+IF(Q79&gt;=3,파라미터!$B$12,0))))-IF(MOD($A79-1,파라미터!$B$22)=0,파라미터!$B$21,0)</f>
        <v/>
      </c>
      <c r="S79" s="15">
        <f>MAX(0,S78+R79)</f>
        <v/>
      </c>
    </row>
    <row r="80">
      <c r="A80" s="13" t="n">
        <v>76</v>
      </c>
      <c r="B80" s="14">
        <f>IF(OR($A80&lt;파라미터!$B$6,MOD($A80,파라미터!$B$6)&gt;=1),0,INT((1-MOD($A80,파라미터!$B$6)-1)/파라미터!$B$6)+1)</f>
        <v/>
      </c>
      <c r="C80" s="15">
        <f>((B80*파라미터!$B$5-파라미터!$B$5*(IF(B80&gt;=1,파라미터!$B$10,0)+IF(B80&gt;=2,파라미터!$B$11,0)+IF(B80&gt;=3,파라미터!$B$12,0)))+MAX(0,파라미터!$B$5*(IF(B80&gt;=1,파라미터!$B$10,0)+IF(B80&gt;=2,파라미터!$B$11,0)+IF(B80&gt;=3,파라미터!$B$12,0))-파라미터!$B$15))*파라미터!$B$16-B80*파라미터!$B$7-MAX(0,파라미터!$B$19+파라미터!$B$20-MIN(파라미터!$B$15,파라미터!$B$5*(IF(B80&gt;=1,파라미터!$B$10,0)+IF(B80&gt;=2,파라미터!$B$11,0)+IF(B80&gt;=3,파라미터!$B$12,0))))-IF(MOD($A80-1,파라미터!$B$22)=0,파라미터!$B$21,0)</f>
        <v/>
      </c>
      <c r="D80" s="15">
        <f>MAX(0,D79+C80)</f>
        <v/>
      </c>
      <c r="E80" s="14">
        <f>IF(OR($A80&lt;파라미터!$B$6,MOD($A80,파라미터!$B$6)&gt;=2),0,INT((2-MOD($A80,파라미터!$B$6)-1)/파라미터!$B$6)+1)</f>
        <v/>
      </c>
      <c r="F80" s="15">
        <f>((E80*파라미터!$B$5-파라미터!$B$5*(IF(E80&gt;=1,파라미터!$B$10,0)+IF(E80&gt;=2,파라미터!$B$11,0)+IF(E80&gt;=3,파라미터!$B$12,0)))+MAX(0,파라미터!$B$5*(IF(E80&gt;=1,파라미터!$B$10,0)+IF(E80&gt;=2,파라미터!$B$11,0)+IF(E80&gt;=3,파라미터!$B$12,0))-파라미터!$B$15))*파라미터!$B$16-E80*파라미터!$B$7-MAX(0,파라미터!$B$19+파라미터!$B$20-MIN(파라미터!$B$15,파라미터!$B$5*(IF(E80&gt;=1,파라미터!$B$10,0)+IF(E80&gt;=2,파라미터!$B$11,0)+IF(E80&gt;=3,파라미터!$B$12,0))))-IF(MOD($A80-1,파라미터!$B$22)=0,파라미터!$B$21,0)</f>
        <v/>
      </c>
      <c r="G80" s="15">
        <f>MAX(0,G79+F80)</f>
        <v/>
      </c>
      <c r="H80" s="14">
        <f>IF(OR($A80&lt;파라미터!$B$6,MOD($A80,파라미터!$B$6)&gt;=3),0,INT((3-MOD($A80,파라미터!$B$6)-1)/파라미터!$B$6)+1)</f>
        <v/>
      </c>
      <c r="I80" s="15">
        <f>((H80*파라미터!$B$5-파라미터!$B$5*(IF(H80&gt;=1,파라미터!$B$10,0)+IF(H80&gt;=2,파라미터!$B$11,0)+IF(H80&gt;=3,파라미터!$B$12,0)))+MAX(0,파라미터!$B$5*(IF(H80&gt;=1,파라미터!$B$10,0)+IF(H80&gt;=2,파라미터!$B$11,0)+IF(H80&gt;=3,파라미터!$B$12,0))-파라미터!$B$15))*파라미터!$B$16-H80*파라미터!$B$7-MAX(0,파라미터!$B$19+파라미터!$B$20-MIN(파라미터!$B$15,파라미터!$B$5*(IF(H80&gt;=1,파라미터!$B$10,0)+IF(H80&gt;=2,파라미터!$B$11,0)+IF(H80&gt;=3,파라미터!$B$12,0))))-IF(MOD($A80-1,파라미터!$B$22)=0,파라미터!$B$21,0)</f>
        <v/>
      </c>
      <c r="J80" s="15">
        <f>MAX(0,J79+I80)</f>
        <v/>
      </c>
      <c r="K80" s="14">
        <f>IF(OR($A80&lt;파라미터!$B$6,MOD($A80,파라미터!$B$6)&gt;=5),0,INT((5-MOD($A80,파라미터!$B$6)-1)/파라미터!$B$6)+1)</f>
        <v/>
      </c>
      <c r="L80" s="15">
        <f>((K80*파라미터!$B$5-파라미터!$B$5*(IF(K80&gt;=1,파라미터!$B$10,0)+IF(K80&gt;=2,파라미터!$B$11,0)+IF(K80&gt;=3,파라미터!$B$12,0)))+MAX(0,파라미터!$B$5*(IF(K80&gt;=1,파라미터!$B$10,0)+IF(K80&gt;=2,파라미터!$B$11,0)+IF(K80&gt;=3,파라미터!$B$12,0))-파라미터!$B$15))*파라미터!$B$16-K80*파라미터!$B$7-MAX(0,파라미터!$B$19+파라미터!$B$20-MIN(파라미터!$B$15,파라미터!$B$5*(IF(K80&gt;=1,파라미터!$B$10,0)+IF(K80&gt;=2,파라미터!$B$11,0)+IF(K80&gt;=3,파라미터!$B$12,0))))-IF(MOD($A80-1,파라미터!$B$22)=0,파라미터!$B$21,0)</f>
        <v/>
      </c>
      <c r="M80" s="15">
        <f>MAX(0,M79+L80)</f>
        <v/>
      </c>
      <c r="N80" s="14">
        <f>IF(OR($A80&lt;파라미터!$B$6,MOD($A80,파라미터!$B$6)&gt;=10),0,INT((10-MOD($A80,파라미터!$B$6)-1)/파라미터!$B$6)+1)</f>
        <v/>
      </c>
      <c r="O80" s="15">
        <f>((N80*파라미터!$B$5-파라미터!$B$5*(IF(N80&gt;=1,파라미터!$B$10,0)+IF(N80&gt;=2,파라미터!$B$11,0)+IF(N80&gt;=3,파라미터!$B$12,0)))+MAX(0,파라미터!$B$5*(IF(N80&gt;=1,파라미터!$B$10,0)+IF(N80&gt;=2,파라미터!$B$11,0)+IF(N80&gt;=3,파라미터!$B$12,0))-파라미터!$B$15))*파라미터!$B$16-N80*파라미터!$B$7-MAX(0,파라미터!$B$19+파라미터!$B$20-MIN(파라미터!$B$15,파라미터!$B$5*(IF(N80&gt;=1,파라미터!$B$10,0)+IF(N80&gt;=2,파라미터!$B$11,0)+IF(N80&gt;=3,파라미터!$B$12,0))))-IF(MOD($A80-1,파라미터!$B$22)=0,파라미터!$B$21,0)</f>
        <v/>
      </c>
      <c r="P80" s="15">
        <f>MAX(0,P79+O80)</f>
        <v/>
      </c>
      <c r="Q80" s="14">
        <f>IF(OR($A80&lt;파라미터!$B$6,MOD($A80,파라미터!$B$6)&gt;=20),0,INT((20-MOD($A80,파라미터!$B$6)-1)/파라미터!$B$6)+1)</f>
        <v/>
      </c>
      <c r="R80" s="15">
        <f>((Q80*파라미터!$B$5-파라미터!$B$5*(IF(Q80&gt;=1,파라미터!$B$10,0)+IF(Q80&gt;=2,파라미터!$B$11,0)+IF(Q80&gt;=3,파라미터!$B$12,0)))+MAX(0,파라미터!$B$5*(IF(Q80&gt;=1,파라미터!$B$10,0)+IF(Q80&gt;=2,파라미터!$B$11,0)+IF(Q80&gt;=3,파라미터!$B$12,0))-파라미터!$B$15))*파라미터!$B$16-Q80*파라미터!$B$7-MAX(0,파라미터!$B$19+파라미터!$B$20-MIN(파라미터!$B$15,파라미터!$B$5*(IF(Q80&gt;=1,파라미터!$B$10,0)+IF(Q80&gt;=2,파라미터!$B$11,0)+IF(Q80&gt;=3,파라미터!$B$12,0))))-IF(MOD($A80-1,파라미터!$B$22)=0,파라미터!$B$21,0)</f>
        <v/>
      </c>
      <c r="S80" s="15">
        <f>MAX(0,S79+R80)</f>
        <v/>
      </c>
    </row>
    <row r="81">
      <c r="A81" s="13" t="n">
        <v>77</v>
      </c>
      <c r="B81" s="14">
        <f>IF(OR($A81&lt;파라미터!$B$6,MOD($A81,파라미터!$B$6)&gt;=1),0,INT((1-MOD($A81,파라미터!$B$6)-1)/파라미터!$B$6)+1)</f>
        <v/>
      </c>
      <c r="C81" s="15">
        <f>((B81*파라미터!$B$5-파라미터!$B$5*(IF(B81&gt;=1,파라미터!$B$10,0)+IF(B81&gt;=2,파라미터!$B$11,0)+IF(B81&gt;=3,파라미터!$B$12,0)))+MAX(0,파라미터!$B$5*(IF(B81&gt;=1,파라미터!$B$10,0)+IF(B81&gt;=2,파라미터!$B$11,0)+IF(B81&gt;=3,파라미터!$B$12,0))-파라미터!$B$15))*파라미터!$B$16-B81*파라미터!$B$7-MAX(0,파라미터!$B$19+파라미터!$B$20-MIN(파라미터!$B$15,파라미터!$B$5*(IF(B81&gt;=1,파라미터!$B$10,0)+IF(B81&gt;=2,파라미터!$B$11,0)+IF(B81&gt;=3,파라미터!$B$12,0))))-IF(MOD($A81-1,파라미터!$B$22)=0,파라미터!$B$21,0)</f>
        <v/>
      </c>
      <c r="D81" s="15">
        <f>MAX(0,D80+C81)</f>
        <v/>
      </c>
      <c r="E81" s="14">
        <f>IF(OR($A81&lt;파라미터!$B$6,MOD($A81,파라미터!$B$6)&gt;=2),0,INT((2-MOD($A81,파라미터!$B$6)-1)/파라미터!$B$6)+1)</f>
        <v/>
      </c>
      <c r="F81" s="15">
        <f>((E81*파라미터!$B$5-파라미터!$B$5*(IF(E81&gt;=1,파라미터!$B$10,0)+IF(E81&gt;=2,파라미터!$B$11,0)+IF(E81&gt;=3,파라미터!$B$12,0)))+MAX(0,파라미터!$B$5*(IF(E81&gt;=1,파라미터!$B$10,0)+IF(E81&gt;=2,파라미터!$B$11,0)+IF(E81&gt;=3,파라미터!$B$12,0))-파라미터!$B$15))*파라미터!$B$16-E81*파라미터!$B$7-MAX(0,파라미터!$B$19+파라미터!$B$20-MIN(파라미터!$B$15,파라미터!$B$5*(IF(E81&gt;=1,파라미터!$B$10,0)+IF(E81&gt;=2,파라미터!$B$11,0)+IF(E81&gt;=3,파라미터!$B$12,0))))-IF(MOD($A81-1,파라미터!$B$22)=0,파라미터!$B$21,0)</f>
        <v/>
      </c>
      <c r="G81" s="15">
        <f>MAX(0,G80+F81)</f>
        <v/>
      </c>
      <c r="H81" s="14">
        <f>IF(OR($A81&lt;파라미터!$B$6,MOD($A81,파라미터!$B$6)&gt;=3),0,INT((3-MOD($A81,파라미터!$B$6)-1)/파라미터!$B$6)+1)</f>
        <v/>
      </c>
      <c r="I81" s="15">
        <f>((H81*파라미터!$B$5-파라미터!$B$5*(IF(H81&gt;=1,파라미터!$B$10,0)+IF(H81&gt;=2,파라미터!$B$11,0)+IF(H81&gt;=3,파라미터!$B$12,0)))+MAX(0,파라미터!$B$5*(IF(H81&gt;=1,파라미터!$B$10,0)+IF(H81&gt;=2,파라미터!$B$11,0)+IF(H81&gt;=3,파라미터!$B$12,0))-파라미터!$B$15))*파라미터!$B$16-H81*파라미터!$B$7-MAX(0,파라미터!$B$19+파라미터!$B$20-MIN(파라미터!$B$15,파라미터!$B$5*(IF(H81&gt;=1,파라미터!$B$10,0)+IF(H81&gt;=2,파라미터!$B$11,0)+IF(H81&gt;=3,파라미터!$B$12,0))))-IF(MOD($A81-1,파라미터!$B$22)=0,파라미터!$B$21,0)</f>
        <v/>
      </c>
      <c r="J81" s="15">
        <f>MAX(0,J80+I81)</f>
        <v/>
      </c>
      <c r="K81" s="14">
        <f>IF(OR($A81&lt;파라미터!$B$6,MOD($A81,파라미터!$B$6)&gt;=5),0,INT((5-MOD($A81,파라미터!$B$6)-1)/파라미터!$B$6)+1)</f>
        <v/>
      </c>
      <c r="L81" s="15">
        <f>((K81*파라미터!$B$5-파라미터!$B$5*(IF(K81&gt;=1,파라미터!$B$10,0)+IF(K81&gt;=2,파라미터!$B$11,0)+IF(K81&gt;=3,파라미터!$B$12,0)))+MAX(0,파라미터!$B$5*(IF(K81&gt;=1,파라미터!$B$10,0)+IF(K81&gt;=2,파라미터!$B$11,0)+IF(K81&gt;=3,파라미터!$B$12,0))-파라미터!$B$15))*파라미터!$B$16-K81*파라미터!$B$7-MAX(0,파라미터!$B$19+파라미터!$B$20-MIN(파라미터!$B$15,파라미터!$B$5*(IF(K81&gt;=1,파라미터!$B$10,0)+IF(K81&gt;=2,파라미터!$B$11,0)+IF(K81&gt;=3,파라미터!$B$12,0))))-IF(MOD($A81-1,파라미터!$B$22)=0,파라미터!$B$21,0)</f>
        <v/>
      </c>
      <c r="M81" s="15">
        <f>MAX(0,M80+L81)</f>
        <v/>
      </c>
      <c r="N81" s="14">
        <f>IF(OR($A81&lt;파라미터!$B$6,MOD($A81,파라미터!$B$6)&gt;=10),0,INT((10-MOD($A81,파라미터!$B$6)-1)/파라미터!$B$6)+1)</f>
        <v/>
      </c>
      <c r="O81" s="15">
        <f>((N81*파라미터!$B$5-파라미터!$B$5*(IF(N81&gt;=1,파라미터!$B$10,0)+IF(N81&gt;=2,파라미터!$B$11,0)+IF(N81&gt;=3,파라미터!$B$12,0)))+MAX(0,파라미터!$B$5*(IF(N81&gt;=1,파라미터!$B$10,0)+IF(N81&gt;=2,파라미터!$B$11,0)+IF(N81&gt;=3,파라미터!$B$12,0))-파라미터!$B$15))*파라미터!$B$16-N81*파라미터!$B$7-MAX(0,파라미터!$B$19+파라미터!$B$20-MIN(파라미터!$B$15,파라미터!$B$5*(IF(N81&gt;=1,파라미터!$B$10,0)+IF(N81&gt;=2,파라미터!$B$11,0)+IF(N81&gt;=3,파라미터!$B$12,0))))-IF(MOD($A81-1,파라미터!$B$22)=0,파라미터!$B$21,0)</f>
        <v/>
      </c>
      <c r="P81" s="15">
        <f>MAX(0,P80+O81)</f>
        <v/>
      </c>
      <c r="Q81" s="14">
        <f>IF(OR($A81&lt;파라미터!$B$6,MOD($A81,파라미터!$B$6)&gt;=20),0,INT((20-MOD($A81,파라미터!$B$6)-1)/파라미터!$B$6)+1)</f>
        <v/>
      </c>
      <c r="R81" s="15">
        <f>((Q81*파라미터!$B$5-파라미터!$B$5*(IF(Q81&gt;=1,파라미터!$B$10,0)+IF(Q81&gt;=2,파라미터!$B$11,0)+IF(Q81&gt;=3,파라미터!$B$12,0)))+MAX(0,파라미터!$B$5*(IF(Q81&gt;=1,파라미터!$B$10,0)+IF(Q81&gt;=2,파라미터!$B$11,0)+IF(Q81&gt;=3,파라미터!$B$12,0))-파라미터!$B$15))*파라미터!$B$16-Q81*파라미터!$B$7-MAX(0,파라미터!$B$19+파라미터!$B$20-MIN(파라미터!$B$15,파라미터!$B$5*(IF(Q81&gt;=1,파라미터!$B$10,0)+IF(Q81&gt;=2,파라미터!$B$11,0)+IF(Q81&gt;=3,파라미터!$B$12,0))))-IF(MOD($A81-1,파라미터!$B$22)=0,파라미터!$B$21,0)</f>
        <v/>
      </c>
      <c r="S81" s="15">
        <f>MAX(0,S80+R81)</f>
        <v/>
      </c>
    </row>
    <row r="82">
      <c r="A82" s="13" t="n">
        <v>78</v>
      </c>
      <c r="B82" s="14">
        <f>IF(OR($A82&lt;파라미터!$B$6,MOD($A82,파라미터!$B$6)&gt;=1),0,INT((1-MOD($A82,파라미터!$B$6)-1)/파라미터!$B$6)+1)</f>
        <v/>
      </c>
      <c r="C82" s="15">
        <f>((B82*파라미터!$B$5-파라미터!$B$5*(IF(B82&gt;=1,파라미터!$B$10,0)+IF(B82&gt;=2,파라미터!$B$11,0)+IF(B82&gt;=3,파라미터!$B$12,0)))+MAX(0,파라미터!$B$5*(IF(B82&gt;=1,파라미터!$B$10,0)+IF(B82&gt;=2,파라미터!$B$11,0)+IF(B82&gt;=3,파라미터!$B$12,0))-파라미터!$B$15))*파라미터!$B$16-B82*파라미터!$B$7-MAX(0,파라미터!$B$19+파라미터!$B$20-MIN(파라미터!$B$15,파라미터!$B$5*(IF(B82&gt;=1,파라미터!$B$10,0)+IF(B82&gt;=2,파라미터!$B$11,0)+IF(B82&gt;=3,파라미터!$B$12,0))))-IF(MOD($A82-1,파라미터!$B$22)=0,파라미터!$B$21,0)</f>
        <v/>
      </c>
      <c r="D82" s="15">
        <f>MAX(0,D81+C82)</f>
        <v/>
      </c>
      <c r="E82" s="14">
        <f>IF(OR($A82&lt;파라미터!$B$6,MOD($A82,파라미터!$B$6)&gt;=2),0,INT((2-MOD($A82,파라미터!$B$6)-1)/파라미터!$B$6)+1)</f>
        <v/>
      </c>
      <c r="F82" s="15">
        <f>((E82*파라미터!$B$5-파라미터!$B$5*(IF(E82&gt;=1,파라미터!$B$10,0)+IF(E82&gt;=2,파라미터!$B$11,0)+IF(E82&gt;=3,파라미터!$B$12,0)))+MAX(0,파라미터!$B$5*(IF(E82&gt;=1,파라미터!$B$10,0)+IF(E82&gt;=2,파라미터!$B$11,0)+IF(E82&gt;=3,파라미터!$B$12,0))-파라미터!$B$15))*파라미터!$B$16-E82*파라미터!$B$7-MAX(0,파라미터!$B$19+파라미터!$B$20-MIN(파라미터!$B$15,파라미터!$B$5*(IF(E82&gt;=1,파라미터!$B$10,0)+IF(E82&gt;=2,파라미터!$B$11,0)+IF(E82&gt;=3,파라미터!$B$12,0))))-IF(MOD($A82-1,파라미터!$B$22)=0,파라미터!$B$21,0)</f>
        <v/>
      </c>
      <c r="G82" s="15">
        <f>MAX(0,G81+F82)</f>
        <v/>
      </c>
      <c r="H82" s="14">
        <f>IF(OR($A82&lt;파라미터!$B$6,MOD($A82,파라미터!$B$6)&gt;=3),0,INT((3-MOD($A82,파라미터!$B$6)-1)/파라미터!$B$6)+1)</f>
        <v/>
      </c>
      <c r="I82" s="15">
        <f>((H82*파라미터!$B$5-파라미터!$B$5*(IF(H82&gt;=1,파라미터!$B$10,0)+IF(H82&gt;=2,파라미터!$B$11,0)+IF(H82&gt;=3,파라미터!$B$12,0)))+MAX(0,파라미터!$B$5*(IF(H82&gt;=1,파라미터!$B$10,0)+IF(H82&gt;=2,파라미터!$B$11,0)+IF(H82&gt;=3,파라미터!$B$12,0))-파라미터!$B$15))*파라미터!$B$16-H82*파라미터!$B$7-MAX(0,파라미터!$B$19+파라미터!$B$20-MIN(파라미터!$B$15,파라미터!$B$5*(IF(H82&gt;=1,파라미터!$B$10,0)+IF(H82&gt;=2,파라미터!$B$11,0)+IF(H82&gt;=3,파라미터!$B$12,0))))-IF(MOD($A82-1,파라미터!$B$22)=0,파라미터!$B$21,0)</f>
        <v/>
      </c>
      <c r="J82" s="15">
        <f>MAX(0,J81+I82)</f>
        <v/>
      </c>
      <c r="K82" s="14">
        <f>IF(OR($A82&lt;파라미터!$B$6,MOD($A82,파라미터!$B$6)&gt;=5),0,INT((5-MOD($A82,파라미터!$B$6)-1)/파라미터!$B$6)+1)</f>
        <v/>
      </c>
      <c r="L82" s="15">
        <f>((K82*파라미터!$B$5-파라미터!$B$5*(IF(K82&gt;=1,파라미터!$B$10,0)+IF(K82&gt;=2,파라미터!$B$11,0)+IF(K82&gt;=3,파라미터!$B$12,0)))+MAX(0,파라미터!$B$5*(IF(K82&gt;=1,파라미터!$B$10,0)+IF(K82&gt;=2,파라미터!$B$11,0)+IF(K82&gt;=3,파라미터!$B$12,0))-파라미터!$B$15))*파라미터!$B$16-K82*파라미터!$B$7-MAX(0,파라미터!$B$19+파라미터!$B$20-MIN(파라미터!$B$15,파라미터!$B$5*(IF(K82&gt;=1,파라미터!$B$10,0)+IF(K82&gt;=2,파라미터!$B$11,0)+IF(K82&gt;=3,파라미터!$B$12,0))))-IF(MOD($A82-1,파라미터!$B$22)=0,파라미터!$B$21,0)</f>
        <v/>
      </c>
      <c r="M82" s="15">
        <f>MAX(0,M81+L82)</f>
        <v/>
      </c>
      <c r="N82" s="14">
        <f>IF(OR($A82&lt;파라미터!$B$6,MOD($A82,파라미터!$B$6)&gt;=10),0,INT((10-MOD($A82,파라미터!$B$6)-1)/파라미터!$B$6)+1)</f>
        <v/>
      </c>
      <c r="O82" s="15">
        <f>((N82*파라미터!$B$5-파라미터!$B$5*(IF(N82&gt;=1,파라미터!$B$10,0)+IF(N82&gt;=2,파라미터!$B$11,0)+IF(N82&gt;=3,파라미터!$B$12,0)))+MAX(0,파라미터!$B$5*(IF(N82&gt;=1,파라미터!$B$10,0)+IF(N82&gt;=2,파라미터!$B$11,0)+IF(N82&gt;=3,파라미터!$B$12,0))-파라미터!$B$15))*파라미터!$B$16-N82*파라미터!$B$7-MAX(0,파라미터!$B$19+파라미터!$B$20-MIN(파라미터!$B$15,파라미터!$B$5*(IF(N82&gt;=1,파라미터!$B$10,0)+IF(N82&gt;=2,파라미터!$B$11,0)+IF(N82&gt;=3,파라미터!$B$12,0))))-IF(MOD($A82-1,파라미터!$B$22)=0,파라미터!$B$21,0)</f>
        <v/>
      </c>
      <c r="P82" s="15">
        <f>MAX(0,P81+O82)</f>
        <v/>
      </c>
      <c r="Q82" s="14">
        <f>IF(OR($A82&lt;파라미터!$B$6,MOD($A82,파라미터!$B$6)&gt;=20),0,INT((20-MOD($A82,파라미터!$B$6)-1)/파라미터!$B$6)+1)</f>
        <v/>
      </c>
      <c r="R82" s="15">
        <f>((Q82*파라미터!$B$5-파라미터!$B$5*(IF(Q82&gt;=1,파라미터!$B$10,0)+IF(Q82&gt;=2,파라미터!$B$11,0)+IF(Q82&gt;=3,파라미터!$B$12,0)))+MAX(0,파라미터!$B$5*(IF(Q82&gt;=1,파라미터!$B$10,0)+IF(Q82&gt;=2,파라미터!$B$11,0)+IF(Q82&gt;=3,파라미터!$B$12,0))-파라미터!$B$15))*파라미터!$B$16-Q82*파라미터!$B$7-MAX(0,파라미터!$B$19+파라미터!$B$20-MIN(파라미터!$B$15,파라미터!$B$5*(IF(Q82&gt;=1,파라미터!$B$10,0)+IF(Q82&gt;=2,파라미터!$B$11,0)+IF(Q82&gt;=3,파라미터!$B$12,0))))-IF(MOD($A82-1,파라미터!$B$22)=0,파라미터!$B$21,0)</f>
        <v/>
      </c>
      <c r="S82" s="15">
        <f>MAX(0,S81+R82)</f>
        <v/>
      </c>
    </row>
    <row r="83">
      <c r="A83" s="13" t="n">
        <v>79</v>
      </c>
      <c r="B83" s="14">
        <f>IF(OR($A83&lt;파라미터!$B$6,MOD($A83,파라미터!$B$6)&gt;=1),0,INT((1-MOD($A83,파라미터!$B$6)-1)/파라미터!$B$6)+1)</f>
        <v/>
      </c>
      <c r="C83" s="15">
        <f>((B83*파라미터!$B$5-파라미터!$B$5*(IF(B83&gt;=1,파라미터!$B$10,0)+IF(B83&gt;=2,파라미터!$B$11,0)+IF(B83&gt;=3,파라미터!$B$12,0)))+MAX(0,파라미터!$B$5*(IF(B83&gt;=1,파라미터!$B$10,0)+IF(B83&gt;=2,파라미터!$B$11,0)+IF(B83&gt;=3,파라미터!$B$12,0))-파라미터!$B$15))*파라미터!$B$16-B83*파라미터!$B$7-MAX(0,파라미터!$B$19+파라미터!$B$20-MIN(파라미터!$B$15,파라미터!$B$5*(IF(B83&gt;=1,파라미터!$B$10,0)+IF(B83&gt;=2,파라미터!$B$11,0)+IF(B83&gt;=3,파라미터!$B$12,0))))-IF(MOD($A83-1,파라미터!$B$22)=0,파라미터!$B$21,0)</f>
        <v/>
      </c>
      <c r="D83" s="15">
        <f>MAX(0,D82+C83)</f>
        <v/>
      </c>
      <c r="E83" s="14">
        <f>IF(OR($A83&lt;파라미터!$B$6,MOD($A83,파라미터!$B$6)&gt;=2),0,INT((2-MOD($A83,파라미터!$B$6)-1)/파라미터!$B$6)+1)</f>
        <v/>
      </c>
      <c r="F83" s="15">
        <f>((E83*파라미터!$B$5-파라미터!$B$5*(IF(E83&gt;=1,파라미터!$B$10,0)+IF(E83&gt;=2,파라미터!$B$11,0)+IF(E83&gt;=3,파라미터!$B$12,0)))+MAX(0,파라미터!$B$5*(IF(E83&gt;=1,파라미터!$B$10,0)+IF(E83&gt;=2,파라미터!$B$11,0)+IF(E83&gt;=3,파라미터!$B$12,0))-파라미터!$B$15))*파라미터!$B$16-E83*파라미터!$B$7-MAX(0,파라미터!$B$19+파라미터!$B$20-MIN(파라미터!$B$15,파라미터!$B$5*(IF(E83&gt;=1,파라미터!$B$10,0)+IF(E83&gt;=2,파라미터!$B$11,0)+IF(E83&gt;=3,파라미터!$B$12,0))))-IF(MOD($A83-1,파라미터!$B$22)=0,파라미터!$B$21,0)</f>
        <v/>
      </c>
      <c r="G83" s="15">
        <f>MAX(0,G82+F83)</f>
        <v/>
      </c>
      <c r="H83" s="14">
        <f>IF(OR($A83&lt;파라미터!$B$6,MOD($A83,파라미터!$B$6)&gt;=3),0,INT((3-MOD($A83,파라미터!$B$6)-1)/파라미터!$B$6)+1)</f>
        <v/>
      </c>
      <c r="I83" s="15">
        <f>((H83*파라미터!$B$5-파라미터!$B$5*(IF(H83&gt;=1,파라미터!$B$10,0)+IF(H83&gt;=2,파라미터!$B$11,0)+IF(H83&gt;=3,파라미터!$B$12,0)))+MAX(0,파라미터!$B$5*(IF(H83&gt;=1,파라미터!$B$10,0)+IF(H83&gt;=2,파라미터!$B$11,0)+IF(H83&gt;=3,파라미터!$B$12,0))-파라미터!$B$15))*파라미터!$B$16-H83*파라미터!$B$7-MAX(0,파라미터!$B$19+파라미터!$B$20-MIN(파라미터!$B$15,파라미터!$B$5*(IF(H83&gt;=1,파라미터!$B$10,0)+IF(H83&gt;=2,파라미터!$B$11,0)+IF(H83&gt;=3,파라미터!$B$12,0))))-IF(MOD($A83-1,파라미터!$B$22)=0,파라미터!$B$21,0)</f>
        <v/>
      </c>
      <c r="J83" s="15">
        <f>MAX(0,J82+I83)</f>
        <v/>
      </c>
      <c r="K83" s="14">
        <f>IF(OR($A83&lt;파라미터!$B$6,MOD($A83,파라미터!$B$6)&gt;=5),0,INT((5-MOD($A83,파라미터!$B$6)-1)/파라미터!$B$6)+1)</f>
        <v/>
      </c>
      <c r="L83" s="15">
        <f>((K83*파라미터!$B$5-파라미터!$B$5*(IF(K83&gt;=1,파라미터!$B$10,0)+IF(K83&gt;=2,파라미터!$B$11,0)+IF(K83&gt;=3,파라미터!$B$12,0)))+MAX(0,파라미터!$B$5*(IF(K83&gt;=1,파라미터!$B$10,0)+IF(K83&gt;=2,파라미터!$B$11,0)+IF(K83&gt;=3,파라미터!$B$12,0))-파라미터!$B$15))*파라미터!$B$16-K83*파라미터!$B$7-MAX(0,파라미터!$B$19+파라미터!$B$20-MIN(파라미터!$B$15,파라미터!$B$5*(IF(K83&gt;=1,파라미터!$B$10,0)+IF(K83&gt;=2,파라미터!$B$11,0)+IF(K83&gt;=3,파라미터!$B$12,0))))-IF(MOD($A83-1,파라미터!$B$22)=0,파라미터!$B$21,0)</f>
        <v/>
      </c>
      <c r="M83" s="15">
        <f>MAX(0,M82+L83)</f>
        <v/>
      </c>
      <c r="N83" s="14">
        <f>IF(OR($A83&lt;파라미터!$B$6,MOD($A83,파라미터!$B$6)&gt;=10),0,INT((10-MOD($A83,파라미터!$B$6)-1)/파라미터!$B$6)+1)</f>
        <v/>
      </c>
      <c r="O83" s="15">
        <f>((N83*파라미터!$B$5-파라미터!$B$5*(IF(N83&gt;=1,파라미터!$B$10,0)+IF(N83&gt;=2,파라미터!$B$11,0)+IF(N83&gt;=3,파라미터!$B$12,0)))+MAX(0,파라미터!$B$5*(IF(N83&gt;=1,파라미터!$B$10,0)+IF(N83&gt;=2,파라미터!$B$11,0)+IF(N83&gt;=3,파라미터!$B$12,0))-파라미터!$B$15))*파라미터!$B$16-N83*파라미터!$B$7-MAX(0,파라미터!$B$19+파라미터!$B$20-MIN(파라미터!$B$15,파라미터!$B$5*(IF(N83&gt;=1,파라미터!$B$10,0)+IF(N83&gt;=2,파라미터!$B$11,0)+IF(N83&gt;=3,파라미터!$B$12,0))))-IF(MOD($A83-1,파라미터!$B$22)=0,파라미터!$B$21,0)</f>
        <v/>
      </c>
      <c r="P83" s="15">
        <f>MAX(0,P82+O83)</f>
        <v/>
      </c>
      <c r="Q83" s="14">
        <f>IF(OR($A83&lt;파라미터!$B$6,MOD($A83,파라미터!$B$6)&gt;=20),0,INT((20-MOD($A83,파라미터!$B$6)-1)/파라미터!$B$6)+1)</f>
        <v/>
      </c>
      <c r="R83" s="15">
        <f>((Q83*파라미터!$B$5-파라미터!$B$5*(IF(Q83&gt;=1,파라미터!$B$10,0)+IF(Q83&gt;=2,파라미터!$B$11,0)+IF(Q83&gt;=3,파라미터!$B$12,0)))+MAX(0,파라미터!$B$5*(IF(Q83&gt;=1,파라미터!$B$10,0)+IF(Q83&gt;=2,파라미터!$B$11,0)+IF(Q83&gt;=3,파라미터!$B$12,0))-파라미터!$B$15))*파라미터!$B$16-Q83*파라미터!$B$7-MAX(0,파라미터!$B$19+파라미터!$B$20-MIN(파라미터!$B$15,파라미터!$B$5*(IF(Q83&gt;=1,파라미터!$B$10,0)+IF(Q83&gt;=2,파라미터!$B$11,0)+IF(Q83&gt;=3,파라미터!$B$12,0))))-IF(MOD($A83-1,파라미터!$B$22)=0,파라미터!$B$21,0)</f>
        <v/>
      </c>
      <c r="S83" s="15">
        <f>MAX(0,S82+R83)</f>
        <v/>
      </c>
    </row>
    <row r="84">
      <c r="A84" s="13" t="n">
        <v>80</v>
      </c>
      <c r="B84" s="14">
        <f>IF(OR($A84&lt;파라미터!$B$6,MOD($A84,파라미터!$B$6)&gt;=1),0,INT((1-MOD($A84,파라미터!$B$6)-1)/파라미터!$B$6)+1)</f>
        <v/>
      </c>
      <c r="C84" s="15">
        <f>((B84*파라미터!$B$5-파라미터!$B$5*(IF(B84&gt;=1,파라미터!$B$10,0)+IF(B84&gt;=2,파라미터!$B$11,0)+IF(B84&gt;=3,파라미터!$B$12,0)))+MAX(0,파라미터!$B$5*(IF(B84&gt;=1,파라미터!$B$10,0)+IF(B84&gt;=2,파라미터!$B$11,0)+IF(B84&gt;=3,파라미터!$B$12,0))-파라미터!$B$15))*파라미터!$B$16-B84*파라미터!$B$7-MAX(0,파라미터!$B$19+파라미터!$B$20-MIN(파라미터!$B$15,파라미터!$B$5*(IF(B84&gt;=1,파라미터!$B$10,0)+IF(B84&gt;=2,파라미터!$B$11,0)+IF(B84&gt;=3,파라미터!$B$12,0))))-IF(MOD($A84-1,파라미터!$B$22)=0,파라미터!$B$21,0)</f>
        <v/>
      </c>
      <c r="D84" s="15">
        <f>MAX(0,D83+C84)</f>
        <v/>
      </c>
      <c r="E84" s="14">
        <f>IF(OR($A84&lt;파라미터!$B$6,MOD($A84,파라미터!$B$6)&gt;=2),0,INT((2-MOD($A84,파라미터!$B$6)-1)/파라미터!$B$6)+1)</f>
        <v/>
      </c>
      <c r="F84" s="15">
        <f>((E84*파라미터!$B$5-파라미터!$B$5*(IF(E84&gt;=1,파라미터!$B$10,0)+IF(E84&gt;=2,파라미터!$B$11,0)+IF(E84&gt;=3,파라미터!$B$12,0)))+MAX(0,파라미터!$B$5*(IF(E84&gt;=1,파라미터!$B$10,0)+IF(E84&gt;=2,파라미터!$B$11,0)+IF(E84&gt;=3,파라미터!$B$12,0))-파라미터!$B$15))*파라미터!$B$16-E84*파라미터!$B$7-MAX(0,파라미터!$B$19+파라미터!$B$20-MIN(파라미터!$B$15,파라미터!$B$5*(IF(E84&gt;=1,파라미터!$B$10,0)+IF(E84&gt;=2,파라미터!$B$11,0)+IF(E84&gt;=3,파라미터!$B$12,0))))-IF(MOD($A84-1,파라미터!$B$22)=0,파라미터!$B$21,0)</f>
        <v/>
      </c>
      <c r="G84" s="15">
        <f>MAX(0,G83+F84)</f>
        <v/>
      </c>
      <c r="H84" s="14">
        <f>IF(OR($A84&lt;파라미터!$B$6,MOD($A84,파라미터!$B$6)&gt;=3),0,INT((3-MOD($A84,파라미터!$B$6)-1)/파라미터!$B$6)+1)</f>
        <v/>
      </c>
      <c r="I84" s="15">
        <f>((H84*파라미터!$B$5-파라미터!$B$5*(IF(H84&gt;=1,파라미터!$B$10,0)+IF(H84&gt;=2,파라미터!$B$11,0)+IF(H84&gt;=3,파라미터!$B$12,0)))+MAX(0,파라미터!$B$5*(IF(H84&gt;=1,파라미터!$B$10,0)+IF(H84&gt;=2,파라미터!$B$11,0)+IF(H84&gt;=3,파라미터!$B$12,0))-파라미터!$B$15))*파라미터!$B$16-H84*파라미터!$B$7-MAX(0,파라미터!$B$19+파라미터!$B$20-MIN(파라미터!$B$15,파라미터!$B$5*(IF(H84&gt;=1,파라미터!$B$10,0)+IF(H84&gt;=2,파라미터!$B$11,0)+IF(H84&gt;=3,파라미터!$B$12,0))))-IF(MOD($A84-1,파라미터!$B$22)=0,파라미터!$B$21,0)</f>
        <v/>
      </c>
      <c r="J84" s="15">
        <f>MAX(0,J83+I84)</f>
        <v/>
      </c>
      <c r="K84" s="14">
        <f>IF(OR($A84&lt;파라미터!$B$6,MOD($A84,파라미터!$B$6)&gt;=5),0,INT((5-MOD($A84,파라미터!$B$6)-1)/파라미터!$B$6)+1)</f>
        <v/>
      </c>
      <c r="L84" s="15">
        <f>((K84*파라미터!$B$5-파라미터!$B$5*(IF(K84&gt;=1,파라미터!$B$10,0)+IF(K84&gt;=2,파라미터!$B$11,0)+IF(K84&gt;=3,파라미터!$B$12,0)))+MAX(0,파라미터!$B$5*(IF(K84&gt;=1,파라미터!$B$10,0)+IF(K84&gt;=2,파라미터!$B$11,0)+IF(K84&gt;=3,파라미터!$B$12,0))-파라미터!$B$15))*파라미터!$B$16-K84*파라미터!$B$7-MAX(0,파라미터!$B$19+파라미터!$B$20-MIN(파라미터!$B$15,파라미터!$B$5*(IF(K84&gt;=1,파라미터!$B$10,0)+IF(K84&gt;=2,파라미터!$B$11,0)+IF(K84&gt;=3,파라미터!$B$12,0))))-IF(MOD($A84-1,파라미터!$B$22)=0,파라미터!$B$21,0)</f>
        <v/>
      </c>
      <c r="M84" s="15">
        <f>MAX(0,M83+L84)</f>
        <v/>
      </c>
      <c r="N84" s="14">
        <f>IF(OR($A84&lt;파라미터!$B$6,MOD($A84,파라미터!$B$6)&gt;=10),0,INT((10-MOD($A84,파라미터!$B$6)-1)/파라미터!$B$6)+1)</f>
        <v/>
      </c>
      <c r="O84" s="15">
        <f>((N84*파라미터!$B$5-파라미터!$B$5*(IF(N84&gt;=1,파라미터!$B$10,0)+IF(N84&gt;=2,파라미터!$B$11,0)+IF(N84&gt;=3,파라미터!$B$12,0)))+MAX(0,파라미터!$B$5*(IF(N84&gt;=1,파라미터!$B$10,0)+IF(N84&gt;=2,파라미터!$B$11,0)+IF(N84&gt;=3,파라미터!$B$12,0))-파라미터!$B$15))*파라미터!$B$16-N84*파라미터!$B$7-MAX(0,파라미터!$B$19+파라미터!$B$20-MIN(파라미터!$B$15,파라미터!$B$5*(IF(N84&gt;=1,파라미터!$B$10,0)+IF(N84&gt;=2,파라미터!$B$11,0)+IF(N84&gt;=3,파라미터!$B$12,0))))-IF(MOD($A84-1,파라미터!$B$22)=0,파라미터!$B$21,0)</f>
        <v/>
      </c>
      <c r="P84" s="15">
        <f>MAX(0,P83+O84)</f>
        <v/>
      </c>
      <c r="Q84" s="14">
        <f>IF(OR($A84&lt;파라미터!$B$6,MOD($A84,파라미터!$B$6)&gt;=20),0,INT((20-MOD($A84,파라미터!$B$6)-1)/파라미터!$B$6)+1)</f>
        <v/>
      </c>
      <c r="R84" s="15">
        <f>((Q84*파라미터!$B$5-파라미터!$B$5*(IF(Q84&gt;=1,파라미터!$B$10,0)+IF(Q84&gt;=2,파라미터!$B$11,0)+IF(Q84&gt;=3,파라미터!$B$12,0)))+MAX(0,파라미터!$B$5*(IF(Q84&gt;=1,파라미터!$B$10,0)+IF(Q84&gt;=2,파라미터!$B$11,0)+IF(Q84&gt;=3,파라미터!$B$12,0))-파라미터!$B$15))*파라미터!$B$16-Q84*파라미터!$B$7-MAX(0,파라미터!$B$19+파라미터!$B$20-MIN(파라미터!$B$15,파라미터!$B$5*(IF(Q84&gt;=1,파라미터!$B$10,0)+IF(Q84&gt;=2,파라미터!$B$11,0)+IF(Q84&gt;=3,파라미터!$B$12,0))))-IF(MOD($A84-1,파라미터!$B$22)=0,파라미터!$B$21,0)</f>
        <v/>
      </c>
      <c r="S84" s="15">
        <f>MAX(0,S83+R84)</f>
        <v/>
      </c>
    </row>
    <row r="85">
      <c r="A85" s="13" t="n">
        <v>81</v>
      </c>
      <c r="B85" s="14">
        <f>IF(OR($A85&lt;파라미터!$B$6,MOD($A85,파라미터!$B$6)&gt;=1),0,INT((1-MOD($A85,파라미터!$B$6)-1)/파라미터!$B$6)+1)</f>
        <v/>
      </c>
      <c r="C85" s="15">
        <f>((B85*파라미터!$B$5-파라미터!$B$5*(IF(B85&gt;=1,파라미터!$B$10,0)+IF(B85&gt;=2,파라미터!$B$11,0)+IF(B85&gt;=3,파라미터!$B$12,0)))+MAX(0,파라미터!$B$5*(IF(B85&gt;=1,파라미터!$B$10,0)+IF(B85&gt;=2,파라미터!$B$11,0)+IF(B85&gt;=3,파라미터!$B$12,0))-파라미터!$B$15))*파라미터!$B$16-B85*파라미터!$B$7-MAX(0,파라미터!$B$19+파라미터!$B$20-MIN(파라미터!$B$15,파라미터!$B$5*(IF(B85&gt;=1,파라미터!$B$10,0)+IF(B85&gt;=2,파라미터!$B$11,0)+IF(B85&gt;=3,파라미터!$B$12,0))))-IF(MOD($A85-1,파라미터!$B$22)=0,파라미터!$B$21,0)</f>
        <v/>
      </c>
      <c r="D85" s="15">
        <f>MAX(0,D84+C85)</f>
        <v/>
      </c>
      <c r="E85" s="14">
        <f>IF(OR($A85&lt;파라미터!$B$6,MOD($A85,파라미터!$B$6)&gt;=2),0,INT((2-MOD($A85,파라미터!$B$6)-1)/파라미터!$B$6)+1)</f>
        <v/>
      </c>
      <c r="F85" s="15">
        <f>((E85*파라미터!$B$5-파라미터!$B$5*(IF(E85&gt;=1,파라미터!$B$10,0)+IF(E85&gt;=2,파라미터!$B$11,0)+IF(E85&gt;=3,파라미터!$B$12,0)))+MAX(0,파라미터!$B$5*(IF(E85&gt;=1,파라미터!$B$10,0)+IF(E85&gt;=2,파라미터!$B$11,0)+IF(E85&gt;=3,파라미터!$B$12,0))-파라미터!$B$15))*파라미터!$B$16-E85*파라미터!$B$7-MAX(0,파라미터!$B$19+파라미터!$B$20-MIN(파라미터!$B$15,파라미터!$B$5*(IF(E85&gt;=1,파라미터!$B$10,0)+IF(E85&gt;=2,파라미터!$B$11,0)+IF(E85&gt;=3,파라미터!$B$12,0))))-IF(MOD($A85-1,파라미터!$B$22)=0,파라미터!$B$21,0)</f>
        <v/>
      </c>
      <c r="G85" s="15">
        <f>MAX(0,G84+F85)</f>
        <v/>
      </c>
      <c r="H85" s="14">
        <f>IF(OR($A85&lt;파라미터!$B$6,MOD($A85,파라미터!$B$6)&gt;=3),0,INT((3-MOD($A85,파라미터!$B$6)-1)/파라미터!$B$6)+1)</f>
        <v/>
      </c>
      <c r="I85" s="15">
        <f>((H85*파라미터!$B$5-파라미터!$B$5*(IF(H85&gt;=1,파라미터!$B$10,0)+IF(H85&gt;=2,파라미터!$B$11,0)+IF(H85&gt;=3,파라미터!$B$12,0)))+MAX(0,파라미터!$B$5*(IF(H85&gt;=1,파라미터!$B$10,0)+IF(H85&gt;=2,파라미터!$B$11,0)+IF(H85&gt;=3,파라미터!$B$12,0))-파라미터!$B$15))*파라미터!$B$16-H85*파라미터!$B$7-MAX(0,파라미터!$B$19+파라미터!$B$20-MIN(파라미터!$B$15,파라미터!$B$5*(IF(H85&gt;=1,파라미터!$B$10,0)+IF(H85&gt;=2,파라미터!$B$11,0)+IF(H85&gt;=3,파라미터!$B$12,0))))-IF(MOD($A85-1,파라미터!$B$22)=0,파라미터!$B$21,0)</f>
        <v/>
      </c>
      <c r="J85" s="15">
        <f>MAX(0,J84+I85)</f>
        <v/>
      </c>
      <c r="K85" s="14">
        <f>IF(OR($A85&lt;파라미터!$B$6,MOD($A85,파라미터!$B$6)&gt;=5),0,INT((5-MOD($A85,파라미터!$B$6)-1)/파라미터!$B$6)+1)</f>
        <v/>
      </c>
      <c r="L85" s="15">
        <f>((K85*파라미터!$B$5-파라미터!$B$5*(IF(K85&gt;=1,파라미터!$B$10,0)+IF(K85&gt;=2,파라미터!$B$11,0)+IF(K85&gt;=3,파라미터!$B$12,0)))+MAX(0,파라미터!$B$5*(IF(K85&gt;=1,파라미터!$B$10,0)+IF(K85&gt;=2,파라미터!$B$11,0)+IF(K85&gt;=3,파라미터!$B$12,0))-파라미터!$B$15))*파라미터!$B$16-K85*파라미터!$B$7-MAX(0,파라미터!$B$19+파라미터!$B$20-MIN(파라미터!$B$15,파라미터!$B$5*(IF(K85&gt;=1,파라미터!$B$10,0)+IF(K85&gt;=2,파라미터!$B$11,0)+IF(K85&gt;=3,파라미터!$B$12,0))))-IF(MOD($A85-1,파라미터!$B$22)=0,파라미터!$B$21,0)</f>
        <v/>
      </c>
      <c r="M85" s="15">
        <f>MAX(0,M84+L85)</f>
        <v/>
      </c>
      <c r="N85" s="14">
        <f>IF(OR($A85&lt;파라미터!$B$6,MOD($A85,파라미터!$B$6)&gt;=10),0,INT((10-MOD($A85,파라미터!$B$6)-1)/파라미터!$B$6)+1)</f>
        <v/>
      </c>
      <c r="O85" s="15">
        <f>((N85*파라미터!$B$5-파라미터!$B$5*(IF(N85&gt;=1,파라미터!$B$10,0)+IF(N85&gt;=2,파라미터!$B$11,0)+IF(N85&gt;=3,파라미터!$B$12,0)))+MAX(0,파라미터!$B$5*(IF(N85&gt;=1,파라미터!$B$10,0)+IF(N85&gt;=2,파라미터!$B$11,0)+IF(N85&gt;=3,파라미터!$B$12,0))-파라미터!$B$15))*파라미터!$B$16-N85*파라미터!$B$7-MAX(0,파라미터!$B$19+파라미터!$B$20-MIN(파라미터!$B$15,파라미터!$B$5*(IF(N85&gt;=1,파라미터!$B$10,0)+IF(N85&gt;=2,파라미터!$B$11,0)+IF(N85&gt;=3,파라미터!$B$12,0))))-IF(MOD($A85-1,파라미터!$B$22)=0,파라미터!$B$21,0)</f>
        <v/>
      </c>
      <c r="P85" s="15">
        <f>MAX(0,P84+O85)</f>
        <v/>
      </c>
      <c r="Q85" s="14">
        <f>IF(OR($A85&lt;파라미터!$B$6,MOD($A85,파라미터!$B$6)&gt;=20),0,INT((20-MOD($A85,파라미터!$B$6)-1)/파라미터!$B$6)+1)</f>
        <v/>
      </c>
      <c r="R85" s="15">
        <f>((Q85*파라미터!$B$5-파라미터!$B$5*(IF(Q85&gt;=1,파라미터!$B$10,0)+IF(Q85&gt;=2,파라미터!$B$11,0)+IF(Q85&gt;=3,파라미터!$B$12,0)))+MAX(0,파라미터!$B$5*(IF(Q85&gt;=1,파라미터!$B$10,0)+IF(Q85&gt;=2,파라미터!$B$11,0)+IF(Q85&gt;=3,파라미터!$B$12,0))-파라미터!$B$15))*파라미터!$B$16-Q85*파라미터!$B$7-MAX(0,파라미터!$B$19+파라미터!$B$20-MIN(파라미터!$B$15,파라미터!$B$5*(IF(Q85&gt;=1,파라미터!$B$10,0)+IF(Q85&gt;=2,파라미터!$B$11,0)+IF(Q85&gt;=3,파라미터!$B$12,0))))-IF(MOD($A85-1,파라미터!$B$22)=0,파라미터!$B$21,0)</f>
        <v/>
      </c>
      <c r="S85" s="15">
        <f>MAX(0,S84+R85)</f>
        <v/>
      </c>
    </row>
    <row r="86">
      <c r="A86" s="13" t="n">
        <v>82</v>
      </c>
      <c r="B86" s="14">
        <f>IF(OR($A86&lt;파라미터!$B$6,MOD($A86,파라미터!$B$6)&gt;=1),0,INT((1-MOD($A86,파라미터!$B$6)-1)/파라미터!$B$6)+1)</f>
        <v/>
      </c>
      <c r="C86" s="15">
        <f>((B86*파라미터!$B$5-파라미터!$B$5*(IF(B86&gt;=1,파라미터!$B$10,0)+IF(B86&gt;=2,파라미터!$B$11,0)+IF(B86&gt;=3,파라미터!$B$12,0)))+MAX(0,파라미터!$B$5*(IF(B86&gt;=1,파라미터!$B$10,0)+IF(B86&gt;=2,파라미터!$B$11,0)+IF(B86&gt;=3,파라미터!$B$12,0))-파라미터!$B$15))*파라미터!$B$16-B86*파라미터!$B$7-MAX(0,파라미터!$B$19+파라미터!$B$20-MIN(파라미터!$B$15,파라미터!$B$5*(IF(B86&gt;=1,파라미터!$B$10,0)+IF(B86&gt;=2,파라미터!$B$11,0)+IF(B86&gt;=3,파라미터!$B$12,0))))-IF(MOD($A86-1,파라미터!$B$22)=0,파라미터!$B$21,0)</f>
        <v/>
      </c>
      <c r="D86" s="15">
        <f>MAX(0,D85+C86)</f>
        <v/>
      </c>
      <c r="E86" s="14">
        <f>IF(OR($A86&lt;파라미터!$B$6,MOD($A86,파라미터!$B$6)&gt;=2),0,INT((2-MOD($A86,파라미터!$B$6)-1)/파라미터!$B$6)+1)</f>
        <v/>
      </c>
      <c r="F86" s="15">
        <f>((E86*파라미터!$B$5-파라미터!$B$5*(IF(E86&gt;=1,파라미터!$B$10,0)+IF(E86&gt;=2,파라미터!$B$11,0)+IF(E86&gt;=3,파라미터!$B$12,0)))+MAX(0,파라미터!$B$5*(IF(E86&gt;=1,파라미터!$B$10,0)+IF(E86&gt;=2,파라미터!$B$11,0)+IF(E86&gt;=3,파라미터!$B$12,0))-파라미터!$B$15))*파라미터!$B$16-E86*파라미터!$B$7-MAX(0,파라미터!$B$19+파라미터!$B$20-MIN(파라미터!$B$15,파라미터!$B$5*(IF(E86&gt;=1,파라미터!$B$10,0)+IF(E86&gt;=2,파라미터!$B$11,0)+IF(E86&gt;=3,파라미터!$B$12,0))))-IF(MOD($A86-1,파라미터!$B$22)=0,파라미터!$B$21,0)</f>
        <v/>
      </c>
      <c r="G86" s="15">
        <f>MAX(0,G85+F86)</f>
        <v/>
      </c>
      <c r="H86" s="14">
        <f>IF(OR($A86&lt;파라미터!$B$6,MOD($A86,파라미터!$B$6)&gt;=3),0,INT((3-MOD($A86,파라미터!$B$6)-1)/파라미터!$B$6)+1)</f>
        <v/>
      </c>
      <c r="I86" s="15">
        <f>((H86*파라미터!$B$5-파라미터!$B$5*(IF(H86&gt;=1,파라미터!$B$10,0)+IF(H86&gt;=2,파라미터!$B$11,0)+IF(H86&gt;=3,파라미터!$B$12,0)))+MAX(0,파라미터!$B$5*(IF(H86&gt;=1,파라미터!$B$10,0)+IF(H86&gt;=2,파라미터!$B$11,0)+IF(H86&gt;=3,파라미터!$B$12,0))-파라미터!$B$15))*파라미터!$B$16-H86*파라미터!$B$7-MAX(0,파라미터!$B$19+파라미터!$B$20-MIN(파라미터!$B$15,파라미터!$B$5*(IF(H86&gt;=1,파라미터!$B$10,0)+IF(H86&gt;=2,파라미터!$B$11,0)+IF(H86&gt;=3,파라미터!$B$12,0))))-IF(MOD($A86-1,파라미터!$B$22)=0,파라미터!$B$21,0)</f>
        <v/>
      </c>
      <c r="J86" s="15">
        <f>MAX(0,J85+I86)</f>
        <v/>
      </c>
      <c r="K86" s="14">
        <f>IF(OR($A86&lt;파라미터!$B$6,MOD($A86,파라미터!$B$6)&gt;=5),0,INT((5-MOD($A86,파라미터!$B$6)-1)/파라미터!$B$6)+1)</f>
        <v/>
      </c>
      <c r="L86" s="15">
        <f>((K86*파라미터!$B$5-파라미터!$B$5*(IF(K86&gt;=1,파라미터!$B$10,0)+IF(K86&gt;=2,파라미터!$B$11,0)+IF(K86&gt;=3,파라미터!$B$12,0)))+MAX(0,파라미터!$B$5*(IF(K86&gt;=1,파라미터!$B$10,0)+IF(K86&gt;=2,파라미터!$B$11,0)+IF(K86&gt;=3,파라미터!$B$12,0))-파라미터!$B$15))*파라미터!$B$16-K86*파라미터!$B$7-MAX(0,파라미터!$B$19+파라미터!$B$20-MIN(파라미터!$B$15,파라미터!$B$5*(IF(K86&gt;=1,파라미터!$B$10,0)+IF(K86&gt;=2,파라미터!$B$11,0)+IF(K86&gt;=3,파라미터!$B$12,0))))-IF(MOD($A86-1,파라미터!$B$22)=0,파라미터!$B$21,0)</f>
        <v/>
      </c>
      <c r="M86" s="15">
        <f>MAX(0,M85+L86)</f>
        <v/>
      </c>
      <c r="N86" s="14">
        <f>IF(OR($A86&lt;파라미터!$B$6,MOD($A86,파라미터!$B$6)&gt;=10),0,INT((10-MOD($A86,파라미터!$B$6)-1)/파라미터!$B$6)+1)</f>
        <v/>
      </c>
      <c r="O86" s="15">
        <f>((N86*파라미터!$B$5-파라미터!$B$5*(IF(N86&gt;=1,파라미터!$B$10,0)+IF(N86&gt;=2,파라미터!$B$11,0)+IF(N86&gt;=3,파라미터!$B$12,0)))+MAX(0,파라미터!$B$5*(IF(N86&gt;=1,파라미터!$B$10,0)+IF(N86&gt;=2,파라미터!$B$11,0)+IF(N86&gt;=3,파라미터!$B$12,0))-파라미터!$B$15))*파라미터!$B$16-N86*파라미터!$B$7-MAX(0,파라미터!$B$19+파라미터!$B$20-MIN(파라미터!$B$15,파라미터!$B$5*(IF(N86&gt;=1,파라미터!$B$10,0)+IF(N86&gt;=2,파라미터!$B$11,0)+IF(N86&gt;=3,파라미터!$B$12,0))))-IF(MOD($A86-1,파라미터!$B$22)=0,파라미터!$B$21,0)</f>
        <v/>
      </c>
      <c r="P86" s="15">
        <f>MAX(0,P85+O86)</f>
        <v/>
      </c>
      <c r="Q86" s="14">
        <f>IF(OR($A86&lt;파라미터!$B$6,MOD($A86,파라미터!$B$6)&gt;=20),0,INT((20-MOD($A86,파라미터!$B$6)-1)/파라미터!$B$6)+1)</f>
        <v/>
      </c>
      <c r="R86" s="15">
        <f>((Q86*파라미터!$B$5-파라미터!$B$5*(IF(Q86&gt;=1,파라미터!$B$10,0)+IF(Q86&gt;=2,파라미터!$B$11,0)+IF(Q86&gt;=3,파라미터!$B$12,0)))+MAX(0,파라미터!$B$5*(IF(Q86&gt;=1,파라미터!$B$10,0)+IF(Q86&gt;=2,파라미터!$B$11,0)+IF(Q86&gt;=3,파라미터!$B$12,0))-파라미터!$B$15))*파라미터!$B$16-Q86*파라미터!$B$7-MAX(0,파라미터!$B$19+파라미터!$B$20-MIN(파라미터!$B$15,파라미터!$B$5*(IF(Q86&gt;=1,파라미터!$B$10,0)+IF(Q86&gt;=2,파라미터!$B$11,0)+IF(Q86&gt;=3,파라미터!$B$12,0))))-IF(MOD($A86-1,파라미터!$B$22)=0,파라미터!$B$21,0)</f>
        <v/>
      </c>
      <c r="S86" s="15">
        <f>MAX(0,S85+R86)</f>
        <v/>
      </c>
    </row>
    <row r="87">
      <c r="A87" s="13" t="n">
        <v>83</v>
      </c>
      <c r="B87" s="14">
        <f>IF(OR($A87&lt;파라미터!$B$6,MOD($A87,파라미터!$B$6)&gt;=1),0,INT((1-MOD($A87,파라미터!$B$6)-1)/파라미터!$B$6)+1)</f>
        <v/>
      </c>
      <c r="C87" s="15">
        <f>((B87*파라미터!$B$5-파라미터!$B$5*(IF(B87&gt;=1,파라미터!$B$10,0)+IF(B87&gt;=2,파라미터!$B$11,0)+IF(B87&gt;=3,파라미터!$B$12,0)))+MAX(0,파라미터!$B$5*(IF(B87&gt;=1,파라미터!$B$10,0)+IF(B87&gt;=2,파라미터!$B$11,0)+IF(B87&gt;=3,파라미터!$B$12,0))-파라미터!$B$15))*파라미터!$B$16-B87*파라미터!$B$7-MAX(0,파라미터!$B$19+파라미터!$B$20-MIN(파라미터!$B$15,파라미터!$B$5*(IF(B87&gt;=1,파라미터!$B$10,0)+IF(B87&gt;=2,파라미터!$B$11,0)+IF(B87&gt;=3,파라미터!$B$12,0))))-IF(MOD($A87-1,파라미터!$B$22)=0,파라미터!$B$21,0)</f>
        <v/>
      </c>
      <c r="D87" s="15">
        <f>MAX(0,D86+C87)</f>
        <v/>
      </c>
      <c r="E87" s="14">
        <f>IF(OR($A87&lt;파라미터!$B$6,MOD($A87,파라미터!$B$6)&gt;=2),0,INT((2-MOD($A87,파라미터!$B$6)-1)/파라미터!$B$6)+1)</f>
        <v/>
      </c>
      <c r="F87" s="15">
        <f>((E87*파라미터!$B$5-파라미터!$B$5*(IF(E87&gt;=1,파라미터!$B$10,0)+IF(E87&gt;=2,파라미터!$B$11,0)+IF(E87&gt;=3,파라미터!$B$12,0)))+MAX(0,파라미터!$B$5*(IF(E87&gt;=1,파라미터!$B$10,0)+IF(E87&gt;=2,파라미터!$B$11,0)+IF(E87&gt;=3,파라미터!$B$12,0))-파라미터!$B$15))*파라미터!$B$16-E87*파라미터!$B$7-MAX(0,파라미터!$B$19+파라미터!$B$20-MIN(파라미터!$B$15,파라미터!$B$5*(IF(E87&gt;=1,파라미터!$B$10,0)+IF(E87&gt;=2,파라미터!$B$11,0)+IF(E87&gt;=3,파라미터!$B$12,0))))-IF(MOD($A87-1,파라미터!$B$22)=0,파라미터!$B$21,0)</f>
        <v/>
      </c>
      <c r="G87" s="15">
        <f>MAX(0,G86+F87)</f>
        <v/>
      </c>
      <c r="H87" s="14">
        <f>IF(OR($A87&lt;파라미터!$B$6,MOD($A87,파라미터!$B$6)&gt;=3),0,INT((3-MOD($A87,파라미터!$B$6)-1)/파라미터!$B$6)+1)</f>
        <v/>
      </c>
      <c r="I87" s="15">
        <f>((H87*파라미터!$B$5-파라미터!$B$5*(IF(H87&gt;=1,파라미터!$B$10,0)+IF(H87&gt;=2,파라미터!$B$11,0)+IF(H87&gt;=3,파라미터!$B$12,0)))+MAX(0,파라미터!$B$5*(IF(H87&gt;=1,파라미터!$B$10,0)+IF(H87&gt;=2,파라미터!$B$11,0)+IF(H87&gt;=3,파라미터!$B$12,0))-파라미터!$B$15))*파라미터!$B$16-H87*파라미터!$B$7-MAX(0,파라미터!$B$19+파라미터!$B$20-MIN(파라미터!$B$15,파라미터!$B$5*(IF(H87&gt;=1,파라미터!$B$10,0)+IF(H87&gt;=2,파라미터!$B$11,0)+IF(H87&gt;=3,파라미터!$B$12,0))))-IF(MOD($A87-1,파라미터!$B$22)=0,파라미터!$B$21,0)</f>
        <v/>
      </c>
      <c r="J87" s="15">
        <f>MAX(0,J86+I87)</f>
        <v/>
      </c>
      <c r="K87" s="14">
        <f>IF(OR($A87&lt;파라미터!$B$6,MOD($A87,파라미터!$B$6)&gt;=5),0,INT((5-MOD($A87,파라미터!$B$6)-1)/파라미터!$B$6)+1)</f>
        <v/>
      </c>
      <c r="L87" s="15">
        <f>((K87*파라미터!$B$5-파라미터!$B$5*(IF(K87&gt;=1,파라미터!$B$10,0)+IF(K87&gt;=2,파라미터!$B$11,0)+IF(K87&gt;=3,파라미터!$B$12,0)))+MAX(0,파라미터!$B$5*(IF(K87&gt;=1,파라미터!$B$10,0)+IF(K87&gt;=2,파라미터!$B$11,0)+IF(K87&gt;=3,파라미터!$B$12,0))-파라미터!$B$15))*파라미터!$B$16-K87*파라미터!$B$7-MAX(0,파라미터!$B$19+파라미터!$B$20-MIN(파라미터!$B$15,파라미터!$B$5*(IF(K87&gt;=1,파라미터!$B$10,0)+IF(K87&gt;=2,파라미터!$B$11,0)+IF(K87&gt;=3,파라미터!$B$12,0))))-IF(MOD($A87-1,파라미터!$B$22)=0,파라미터!$B$21,0)</f>
        <v/>
      </c>
      <c r="M87" s="15">
        <f>MAX(0,M86+L87)</f>
        <v/>
      </c>
      <c r="N87" s="14">
        <f>IF(OR($A87&lt;파라미터!$B$6,MOD($A87,파라미터!$B$6)&gt;=10),0,INT((10-MOD($A87,파라미터!$B$6)-1)/파라미터!$B$6)+1)</f>
        <v/>
      </c>
      <c r="O87" s="15">
        <f>((N87*파라미터!$B$5-파라미터!$B$5*(IF(N87&gt;=1,파라미터!$B$10,0)+IF(N87&gt;=2,파라미터!$B$11,0)+IF(N87&gt;=3,파라미터!$B$12,0)))+MAX(0,파라미터!$B$5*(IF(N87&gt;=1,파라미터!$B$10,0)+IF(N87&gt;=2,파라미터!$B$11,0)+IF(N87&gt;=3,파라미터!$B$12,0))-파라미터!$B$15))*파라미터!$B$16-N87*파라미터!$B$7-MAX(0,파라미터!$B$19+파라미터!$B$20-MIN(파라미터!$B$15,파라미터!$B$5*(IF(N87&gt;=1,파라미터!$B$10,0)+IF(N87&gt;=2,파라미터!$B$11,0)+IF(N87&gt;=3,파라미터!$B$12,0))))-IF(MOD($A87-1,파라미터!$B$22)=0,파라미터!$B$21,0)</f>
        <v/>
      </c>
      <c r="P87" s="15">
        <f>MAX(0,P86+O87)</f>
        <v/>
      </c>
      <c r="Q87" s="14">
        <f>IF(OR($A87&lt;파라미터!$B$6,MOD($A87,파라미터!$B$6)&gt;=20),0,INT((20-MOD($A87,파라미터!$B$6)-1)/파라미터!$B$6)+1)</f>
        <v/>
      </c>
      <c r="R87" s="15">
        <f>((Q87*파라미터!$B$5-파라미터!$B$5*(IF(Q87&gt;=1,파라미터!$B$10,0)+IF(Q87&gt;=2,파라미터!$B$11,0)+IF(Q87&gt;=3,파라미터!$B$12,0)))+MAX(0,파라미터!$B$5*(IF(Q87&gt;=1,파라미터!$B$10,0)+IF(Q87&gt;=2,파라미터!$B$11,0)+IF(Q87&gt;=3,파라미터!$B$12,0))-파라미터!$B$15))*파라미터!$B$16-Q87*파라미터!$B$7-MAX(0,파라미터!$B$19+파라미터!$B$20-MIN(파라미터!$B$15,파라미터!$B$5*(IF(Q87&gt;=1,파라미터!$B$10,0)+IF(Q87&gt;=2,파라미터!$B$11,0)+IF(Q87&gt;=3,파라미터!$B$12,0))))-IF(MOD($A87-1,파라미터!$B$22)=0,파라미터!$B$21,0)</f>
        <v/>
      </c>
      <c r="S87" s="15">
        <f>MAX(0,S86+R87)</f>
        <v/>
      </c>
    </row>
    <row r="88">
      <c r="A88" s="13" t="n">
        <v>84</v>
      </c>
      <c r="B88" s="14">
        <f>IF(OR($A88&lt;파라미터!$B$6,MOD($A88,파라미터!$B$6)&gt;=1),0,INT((1-MOD($A88,파라미터!$B$6)-1)/파라미터!$B$6)+1)</f>
        <v/>
      </c>
      <c r="C88" s="15">
        <f>((B88*파라미터!$B$5-파라미터!$B$5*(IF(B88&gt;=1,파라미터!$B$10,0)+IF(B88&gt;=2,파라미터!$B$11,0)+IF(B88&gt;=3,파라미터!$B$12,0)))+MAX(0,파라미터!$B$5*(IF(B88&gt;=1,파라미터!$B$10,0)+IF(B88&gt;=2,파라미터!$B$11,0)+IF(B88&gt;=3,파라미터!$B$12,0))-파라미터!$B$15))*파라미터!$B$16-B88*파라미터!$B$7-MAX(0,파라미터!$B$19+파라미터!$B$20-MIN(파라미터!$B$15,파라미터!$B$5*(IF(B88&gt;=1,파라미터!$B$10,0)+IF(B88&gt;=2,파라미터!$B$11,0)+IF(B88&gt;=3,파라미터!$B$12,0))))-IF(MOD($A88-1,파라미터!$B$22)=0,파라미터!$B$21,0)</f>
        <v/>
      </c>
      <c r="D88" s="15">
        <f>MAX(0,D87+C88)</f>
        <v/>
      </c>
      <c r="E88" s="14">
        <f>IF(OR($A88&lt;파라미터!$B$6,MOD($A88,파라미터!$B$6)&gt;=2),0,INT((2-MOD($A88,파라미터!$B$6)-1)/파라미터!$B$6)+1)</f>
        <v/>
      </c>
      <c r="F88" s="15">
        <f>((E88*파라미터!$B$5-파라미터!$B$5*(IF(E88&gt;=1,파라미터!$B$10,0)+IF(E88&gt;=2,파라미터!$B$11,0)+IF(E88&gt;=3,파라미터!$B$12,0)))+MAX(0,파라미터!$B$5*(IF(E88&gt;=1,파라미터!$B$10,0)+IF(E88&gt;=2,파라미터!$B$11,0)+IF(E88&gt;=3,파라미터!$B$12,0))-파라미터!$B$15))*파라미터!$B$16-E88*파라미터!$B$7-MAX(0,파라미터!$B$19+파라미터!$B$20-MIN(파라미터!$B$15,파라미터!$B$5*(IF(E88&gt;=1,파라미터!$B$10,0)+IF(E88&gt;=2,파라미터!$B$11,0)+IF(E88&gt;=3,파라미터!$B$12,0))))-IF(MOD($A88-1,파라미터!$B$22)=0,파라미터!$B$21,0)</f>
        <v/>
      </c>
      <c r="G88" s="15">
        <f>MAX(0,G87+F88)</f>
        <v/>
      </c>
      <c r="H88" s="14">
        <f>IF(OR($A88&lt;파라미터!$B$6,MOD($A88,파라미터!$B$6)&gt;=3),0,INT((3-MOD($A88,파라미터!$B$6)-1)/파라미터!$B$6)+1)</f>
        <v/>
      </c>
      <c r="I88" s="15">
        <f>((H88*파라미터!$B$5-파라미터!$B$5*(IF(H88&gt;=1,파라미터!$B$10,0)+IF(H88&gt;=2,파라미터!$B$11,0)+IF(H88&gt;=3,파라미터!$B$12,0)))+MAX(0,파라미터!$B$5*(IF(H88&gt;=1,파라미터!$B$10,0)+IF(H88&gt;=2,파라미터!$B$11,0)+IF(H88&gt;=3,파라미터!$B$12,0))-파라미터!$B$15))*파라미터!$B$16-H88*파라미터!$B$7-MAX(0,파라미터!$B$19+파라미터!$B$20-MIN(파라미터!$B$15,파라미터!$B$5*(IF(H88&gt;=1,파라미터!$B$10,0)+IF(H88&gt;=2,파라미터!$B$11,0)+IF(H88&gt;=3,파라미터!$B$12,0))))-IF(MOD($A88-1,파라미터!$B$22)=0,파라미터!$B$21,0)</f>
        <v/>
      </c>
      <c r="J88" s="15">
        <f>MAX(0,J87+I88)</f>
        <v/>
      </c>
      <c r="K88" s="14">
        <f>IF(OR($A88&lt;파라미터!$B$6,MOD($A88,파라미터!$B$6)&gt;=5),0,INT((5-MOD($A88,파라미터!$B$6)-1)/파라미터!$B$6)+1)</f>
        <v/>
      </c>
      <c r="L88" s="15">
        <f>((K88*파라미터!$B$5-파라미터!$B$5*(IF(K88&gt;=1,파라미터!$B$10,0)+IF(K88&gt;=2,파라미터!$B$11,0)+IF(K88&gt;=3,파라미터!$B$12,0)))+MAX(0,파라미터!$B$5*(IF(K88&gt;=1,파라미터!$B$10,0)+IF(K88&gt;=2,파라미터!$B$11,0)+IF(K88&gt;=3,파라미터!$B$12,0))-파라미터!$B$15))*파라미터!$B$16-K88*파라미터!$B$7-MAX(0,파라미터!$B$19+파라미터!$B$20-MIN(파라미터!$B$15,파라미터!$B$5*(IF(K88&gt;=1,파라미터!$B$10,0)+IF(K88&gt;=2,파라미터!$B$11,0)+IF(K88&gt;=3,파라미터!$B$12,0))))-IF(MOD($A88-1,파라미터!$B$22)=0,파라미터!$B$21,0)</f>
        <v/>
      </c>
      <c r="M88" s="15">
        <f>MAX(0,M87+L88)</f>
        <v/>
      </c>
      <c r="N88" s="14">
        <f>IF(OR($A88&lt;파라미터!$B$6,MOD($A88,파라미터!$B$6)&gt;=10),0,INT((10-MOD($A88,파라미터!$B$6)-1)/파라미터!$B$6)+1)</f>
        <v/>
      </c>
      <c r="O88" s="15">
        <f>((N88*파라미터!$B$5-파라미터!$B$5*(IF(N88&gt;=1,파라미터!$B$10,0)+IF(N88&gt;=2,파라미터!$B$11,0)+IF(N88&gt;=3,파라미터!$B$12,0)))+MAX(0,파라미터!$B$5*(IF(N88&gt;=1,파라미터!$B$10,0)+IF(N88&gt;=2,파라미터!$B$11,0)+IF(N88&gt;=3,파라미터!$B$12,0))-파라미터!$B$15))*파라미터!$B$16-N88*파라미터!$B$7-MAX(0,파라미터!$B$19+파라미터!$B$20-MIN(파라미터!$B$15,파라미터!$B$5*(IF(N88&gt;=1,파라미터!$B$10,0)+IF(N88&gt;=2,파라미터!$B$11,0)+IF(N88&gt;=3,파라미터!$B$12,0))))-IF(MOD($A88-1,파라미터!$B$22)=0,파라미터!$B$21,0)</f>
        <v/>
      </c>
      <c r="P88" s="15">
        <f>MAX(0,P87+O88)</f>
        <v/>
      </c>
      <c r="Q88" s="14">
        <f>IF(OR($A88&lt;파라미터!$B$6,MOD($A88,파라미터!$B$6)&gt;=20),0,INT((20-MOD($A88,파라미터!$B$6)-1)/파라미터!$B$6)+1)</f>
        <v/>
      </c>
      <c r="R88" s="15">
        <f>((Q88*파라미터!$B$5-파라미터!$B$5*(IF(Q88&gt;=1,파라미터!$B$10,0)+IF(Q88&gt;=2,파라미터!$B$11,0)+IF(Q88&gt;=3,파라미터!$B$12,0)))+MAX(0,파라미터!$B$5*(IF(Q88&gt;=1,파라미터!$B$10,0)+IF(Q88&gt;=2,파라미터!$B$11,0)+IF(Q88&gt;=3,파라미터!$B$12,0))-파라미터!$B$15))*파라미터!$B$16-Q88*파라미터!$B$7-MAX(0,파라미터!$B$19+파라미터!$B$20-MIN(파라미터!$B$15,파라미터!$B$5*(IF(Q88&gt;=1,파라미터!$B$10,0)+IF(Q88&gt;=2,파라미터!$B$11,0)+IF(Q88&gt;=3,파라미터!$B$12,0))))-IF(MOD($A88-1,파라미터!$B$22)=0,파라미터!$B$21,0)</f>
        <v/>
      </c>
      <c r="S88" s="15">
        <f>MAX(0,S87+R88)</f>
        <v/>
      </c>
    </row>
    <row r="89">
      <c r="A89" s="13" t="n">
        <v>85</v>
      </c>
      <c r="B89" s="14">
        <f>IF(OR($A89&lt;파라미터!$B$6,MOD($A89,파라미터!$B$6)&gt;=1),0,INT((1-MOD($A89,파라미터!$B$6)-1)/파라미터!$B$6)+1)</f>
        <v/>
      </c>
      <c r="C89" s="15">
        <f>((B89*파라미터!$B$5-파라미터!$B$5*(IF(B89&gt;=1,파라미터!$B$10,0)+IF(B89&gt;=2,파라미터!$B$11,0)+IF(B89&gt;=3,파라미터!$B$12,0)))+MAX(0,파라미터!$B$5*(IF(B89&gt;=1,파라미터!$B$10,0)+IF(B89&gt;=2,파라미터!$B$11,0)+IF(B89&gt;=3,파라미터!$B$12,0))-파라미터!$B$15))*파라미터!$B$16-B89*파라미터!$B$7-MAX(0,파라미터!$B$19+파라미터!$B$20-MIN(파라미터!$B$15,파라미터!$B$5*(IF(B89&gt;=1,파라미터!$B$10,0)+IF(B89&gt;=2,파라미터!$B$11,0)+IF(B89&gt;=3,파라미터!$B$12,0))))-IF(MOD($A89-1,파라미터!$B$22)=0,파라미터!$B$21,0)</f>
        <v/>
      </c>
      <c r="D89" s="15">
        <f>MAX(0,D88+C89)</f>
        <v/>
      </c>
      <c r="E89" s="14">
        <f>IF(OR($A89&lt;파라미터!$B$6,MOD($A89,파라미터!$B$6)&gt;=2),0,INT((2-MOD($A89,파라미터!$B$6)-1)/파라미터!$B$6)+1)</f>
        <v/>
      </c>
      <c r="F89" s="15">
        <f>((E89*파라미터!$B$5-파라미터!$B$5*(IF(E89&gt;=1,파라미터!$B$10,0)+IF(E89&gt;=2,파라미터!$B$11,0)+IF(E89&gt;=3,파라미터!$B$12,0)))+MAX(0,파라미터!$B$5*(IF(E89&gt;=1,파라미터!$B$10,0)+IF(E89&gt;=2,파라미터!$B$11,0)+IF(E89&gt;=3,파라미터!$B$12,0))-파라미터!$B$15))*파라미터!$B$16-E89*파라미터!$B$7-MAX(0,파라미터!$B$19+파라미터!$B$20-MIN(파라미터!$B$15,파라미터!$B$5*(IF(E89&gt;=1,파라미터!$B$10,0)+IF(E89&gt;=2,파라미터!$B$11,0)+IF(E89&gt;=3,파라미터!$B$12,0))))-IF(MOD($A89-1,파라미터!$B$22)=0,파라미터!$B$21,0)</f>
        <v/>
      </c>
      <c r="G89" s="15">
        <f>MAX(0,G88+F89)</f>
        <v/>
      </c>
      <c r="H89" s="14">
        <f>IF(OR($A89&lt;파라미터!$B$6,MOD($A89,파라미터!$B$6)&gt;=3),0,INT((3-MOD($A89,파라미터!$B$6)-1)/파라미터!$B$6)+1)</f>
        <v/>
      </c>
      <c r="I89" s="15">
        <f>((H89*파라미터!$B$5-파라미터!$B$5*(IF(H89&gt;=1,파라미터!$B$10,0)+IF(H89&gt;=2,파라미터!$B$11,0)+IF(H89&gt;=3,파라미터!$B$12,0)))+MAX(0,파라미터!$B$5*(IF(H89&gt;=1,파라미터!$B$10,0)+IF(H89&gt;=2,파라미터!$B$11,0)+IF(H89&gt;=3,파라미터!$B$12,0))-파라미터!$B$15))*파라미터!$B$16-H89*파라미터!$B$7-MAX(0,파라미터!$B$19+파라미터!$B$20-MIN(파라미터!$B$15,파라미터!$B$5*(IF(H89&gt;=1,파라미터!$B$10,0)+IF(H89&gt;=2,파라미터!$B$11,0)+IF(H89&gt;=3,파라미터!$B$12,0))))-IF(MOD($A89-1,파라미터!$B$22)=0,파라미터!$B$21,0)</f>
        <v/>
      </c>
      <c r="J89" s="15">
        <f>MAX(0,J88+I89)</f>
        <v/>
      </c>
      <c r="K89" s="14">
        <f>IF(OR($A89&lt;파라미터!$B$6,MOD($A89,파라미터!$B$6)&gt;=5),0,INT((5-MOD($A89,파라미터!$B$6)-1)/파라미터!$B$6)+1)</f>
        <v/>
      </c>
      <c r="L89" s="15">
        <f>((K89*파라미터!$B$5-파라미터!$B$5*(IF(K89&gt;=1,파라미터!$B$10,0)+IF(K89&gt;=2,파라미터!$B$11,0)+IF(K89&gt;=3,파라미터!$B$12,0)))+MAX(0,파라미터!$B$5*(IF(K89&gt;=1,파라미터!$B$10,0)+IF(K89&gt;=2,파라미터!$B$11,0)+IF(K89&gt;=3,파라미터!$B$12,0))-파라미터!$B$15))*파라미터!$B$16-K89*파라미터!$B$7-MAX(0,파라미터!$B$19+파라미터!$B$20-MIN(파라미터!$B$15,파라미터!$B$5*(IF(K89&gt;=1,파라미터!$B$10,0)+IF(K89&gt;=2,파라미터!$B$11,0)+IF(K89&gt;=3,파라미터!$B$12,0))))-IF(MOD($A89-1,파라미터!$B$22)=0,파라미터!$B$21,0)</f>
        <v/>
      </c>
      <c r="M89" s="15">
        <f>MAX(0,M88+L89)</f>
        <v/>
      </c>
      <c r="N89" s="14">
        <f>IF(OR($A89&lt;파라미터!$B$6,MOD($A89,파라미터!$B$6)&gt;=10),0,INT((10-MOD($A89,파라미터!$B$6)-1)/파라미터!$B$6)+1)</f>
        <v/>
      </c>
      <c r="O89" s="15">
        <f>((N89*파라미터!$B$5-파라미터!$B$5*(IF(N89&gt;=1,파라미터!$B$10,0)+IF(N89&gt;=2,파라미터!$B$11,0)+IF(N89&gt;=3,파라미터!$B$12,0)))+MAX(0,파라미터!$B$5*(IF(N89&gt;=1,파라미터!$B$10,0)+IF(N89&gt;=2,파라미터!$B$11,0)+IF(N89&gt;=3,파라미터!$B$12,0))-파라미터!$B$15))*파라미터!$B$16-N89*파라미터!$B$7-MAX(0,파라미터!$B$19+파라미터!$B$20-MIN(파라미터!$B$15,파라미터!$B$5*(IF(N89&gt;=1,파라미터!$B$10,0)+IF(N89&gt;=2,파라미터!$B$11,0)+IF(N89&gt;=3,파라미터!$B$12,0))))-IF(MOD($A89-1,파라미터!$B$22)=0,파라미터!$B$21,0)</f>
        <v/>
      </c>
      <c r="P89" s="15">
        <f>MAX(0,P88+O89)</f>
        <v/>
      </c>
      <c r="Q89" s="14">
        <f>IF(OR($A89&lt;파라미터!$B$6,MOD($A89,파라미터!$B$6)&gt;=20),0,INT((20-MOD($A89,파라미터!$B$6)-1)/파라미터!$B$6)+1)</f>
        <v/>
      </c>
      <c r="R89" s="15">
        <f>((Q89*파라미터!$B$5-파라미터!$B$5*(IF(Q89&gt;=1,파라미터!$B$10,0)+IF(Q89&gt;=2,파라미터!$B$11,0)+IF(Q89&gt;=3,파라미터!$B$12,0)))+MAX(0,파라미터!$B$5*(IF(Q89&gt;=1,파라미터!$B$10,0)+IF(Q89&gt;=2,파라미터!$B$11,0)+IF(Q89&gt;=3,파라미터!$B$12,0))-파라미터!$B$15))*파라미터!$B$16-Q89*파라미터!$B$7-MAX(0,파라미터!$B$19+파라미터!$B$20-MIN(파라미터!$B$15,파라미터!$B$5*(IF(Q89&gt;=1,파라미터!$B$10,0)+IF(Q89&gt;=2,파라미터!$B$11,0)+IF(Q89&gt;=3,파라미터!$B$12,0))))-IF(MOD($A89-1,파라미터!$B$22)=0,파라미터!$B$21,0)</f>
        <v/>
      </c>
      <c r="S89" s="15">
        <f>MAX(0,S88+R89)</f>
        <v/>
      </c>
    </row>
    <row r="90">
      <c r="A90" s="13" t="n">
        <v>86</v>
      </c>
      <c r="B90" s="14">
        <f>IF(OR($A90&lt;파라미터!$B$6,MOD($A90,파라미터!$B$6)&gt;=1),0,INT((1-MOD($A90,파라미터!$B$6)-1)/파라미터!$B$6)+1)</f>
        <v/>
      </c>
      <c r="C90" s="15">
        <f>((B90*파라미터!$B$5-파라미터!$B$5*(IF(B90&gt;=1,파라미터!$B$10,0)+IF(B90&gt;=2,파라미터!$B$11,0)+IF(B90&gt;=3,파라미터!$B$12,0)))+MAX(0,파라미터!$B$5*(IF(B90&gt;=1,파라미터!$B$10,0)+IF(B90&gt;=2,파라미터!$B$11,0)+IF(B90&gt;=3,파라미터!$B$12,0))-파라미터!$B$15))*파라미터!$B$16-B90*파라미터!$B$7-MAX(0,파라미터!$B$19+파라미터!$B$20-MIN(파라미터!$B$15,파라미터!$B$5*(IF(B90&gt;=1,파라미터!$B$10,0)+IF(B90&gt;=2,파라미터!$B$11,0)+IF(B90&gt;=3,파라미터!$B$12,0))))-IF(MOD($A90-1,파라미터!$B$22)=0,파라미터!$B$21,0)</f>
        <v/>
      </c>
      <c r="D90" s="15">
        <f>MAX(0,D89+C90)</f>
        <v/>
      </c>
      <c r="E90" s="14">
        <f>IF(OR($A90&lt;파라미터!$B$6,MOD($A90,파라미터!$B$6)&gt;=2),0,INT((2-MOD($A90,파라미터!$B$6)-1)/파라미터!$B$6)+1)</f>
        <v/>
      </c>
      <c r="F90" s="15">
        <f>((E90*파라미터!$B$5-파라미터!$B$5*(IF(E90&gt;=1,파라미터!$B$10,0)+IF(E90&gt;=2,파라미터!$B$11,0)+IF(E90&gt;=3,파라미터!$B$12,0)))+MAX(0,파라미터!$B$5*(IF(E90&gt;=1,파라미터!$B$10,0)+IF(E90&gt;=2,파라미터!$B$11,0)+IF(E90&gt;=3,파라미터!$B$12,0))-파라미터!$B$15))*파라미터!$B$16-E90*파라미터!$B$7-MAX(0,파라미터!$B$19+파라미터!$B$20-MIN(파라미터!$B$15,파라미터!$B$5*(IF(E90&gt;=1,파라미터!$B$10,0)+IF(E90&gt;=2,파라미터!$B$11,0)+IF(E90&gt;=3,파라미터!$B$12,0))))-IF(MOD($A90-1,파라미터!$B$22)=0,파라미터!$B$21,0)</f>
        <v/>
      </c>
      <c r="G90" s="15">
        <f>MAX(0,G89+F90)</f>
        <v/>
      </c>
      <c r="H90" s="14">
        <f>IF(OR($A90&lt;파라미터!$B$6,MOD($A90,파라미터!$B$6)&gt;=3),0,INT((3-MOD($A90,파라미터!$B$6)-1)/파라미터!$B$6)+1)</f>
        <v/>
      </c>
      <c r="I90" s="15">
        <f>((H90*파라미터!$B$5-파라미터!$B$5*(IF(H90&gt;=1,파라미터!$B$10,0)+IF(H90&gt;=2,파라미터!$B$11,0)+IF(H90&gt;=3,파라미터!$B$12,0)))+MAX(0,파라미터!$B$5*(IF(H90&gt;=1,파라미터!$B$10,0)+IF(H90&gt;=2,파라미터!$B$11,0)+IF(H90&gt;=3,파라미터!$B$12,0))-파라미터!$B$15))*파라미터!$B$16-H90*파라미터!$B$7-MAX(0,파라미터!$B$19+파라미터!$B$20-MIN(파라미터!$B$15,파라미터!$B$5*(IF(H90&gt;=1,파라미터!$B$10,0)+IF(H90&gt;=2,파라미터!$B$11,0)+IF(H90&gt;=3,파라미터!$B$12,0))))-IF(MOD($A90-1,파라미터!$B$22)=0,파라미터!$B$21,0)</f>
        <v/>
      </c>
      <c r="J90" s="15">
        <f>MAX(0,J89+I90)</f>
        <v/>
      </c>
      <c r="K90" s="14">
        <f>IF(OR($A90&lt;파라미터!$B$6,MOD($A90,파라미터!$B$6)&gt;=5),0,INT((5-MOD($A90,파라미터!$B$6)-1)/파라미터!$B$6)+1)</f>
        <v/>
      </c>
      <c r="L90" s="15">
        <f>((K90*파라미터!$B$5-파라미터!$B$5*(IF(K90&gt;=1,파라미터!$B$10,0)+IF(K90&gt;=2,파라미터!$B$11,0)+IF(K90&gt;=3,파라미터!$B$12,0)))+MAX(0,파라미터!$B$5*(IF(K90&gt;=1,파라미터!$B$10,0)+IF(K90&gt;=2,파라미터!$B$11,0)+IF(K90&gt;=3,파라미터!$B$12,0))-파라미터!$B$15))*파라미터!$B$16-K90*파라미터!$B$7-MAX(0,파라미터!$B$19+파라미터!$B$20-MIN(파라미터!$B$15,파라미터!$B$5*(IF(K90&gt;=1,파라미터!$B$10,0)+IF(K90&gt;=2,파라미터!$B$11,0)+IF(K90&gt;=3,파라미터!$B$12,0))))-IF(MOD($A90-1,파라미터!$B$22)=0,파라미터!$B$21,0)</f>
        <v/>
      </c>
      <c r="M90" s="15">
        <f>MAX(0,M89+L90)</f>
        <v/>
      </c>
      <c r="N90" s="14">
        <f>IF(OR($A90&lt;파라미터!$B$6,MOD($A90,파라미터!$B$6)&gt;=10),0,INT((10-MOD($A90,파라미터!$B$6)-1)/파라미터!$B$6)+1)</f>
        <v/>
      </c>
      <c r="O90" s="15">
        <f>((N90*파라미터!$B$5-파라미터!$B$5*(IF(N90&gt;=1,파라미터!$B$10,0)+IF(N90&gt;=2,파라미터!$B$11,0)+IF(N90&gt;=3,파라미터!$B$12,0)))+MAX(0,파라미터!$B$5*(IF(N90&gt;=1,파라미터!$B$10,0)+IF(N90&gt;=2,파라미터!$B$11,0)+IF(N90&gt;=3,파라미터!$B$12,0))-파라미터!$B$15))*파라미터!$B$16-N90*파라미터!$B$7-MAX(0,파라미터!$B$19+파라미터!$B$20-MIN(파라미터!$B$15,파라미터!$B$5*(IF(N90&gt;=1,파라미터!$B$10,0)+IF(N90&gt;=2,파라미터!$B$11,0)+IF(N90&gt;=3,파라미터!$B$12,0))))-IF(MOD($A90-1,파라미터!$B$22)=0,파라미터!$B$21,0)</f>
        <v/>
      </c>
      <c r="P90" s="15">
        <f>MAX(0,P89+O90)</f>
        <v/>
      </c>
      <c r="Q90" s="14">
        <f>IF(OR($A90&lt;파라미터!$B$6,MOD($A90,파라미터!$B$6)&gt;=20),0,INT((20-MOD($A90,파라미터!$B$6)-1)/파라미터!$B$6)+1)</f>
        <v/>
      </c>
      <c r="R90" s="15">
        <f>((Q90*파라미터!$B$5-파라미터!$B$5*(IF(Q90&gt;=1,파라미터!$B$10,0)+IF(Q90&gt;=2,파라미터!$B$11,0)+IF(Q90&gt;=3,파라미터!$B$12,0)))+MAX(0,파라미터!$B$5*(IF(Q90&gt;=1,파라미터!$B$10,0)+IF(Q90&gt;=2,파라미터!$B$11,0)+IF(Q90&gt;=3,파라미터!$B$12,0))-파라미터!$B$15))*파라미터!$B$16-Q90*파라미터!$B$7-MAX(0,파라미터!$B$19+파라미터!$B$20-MIN(파라미터!$B$15,파라미터!$B$5*(IF(Q90&gt;=1,파라미터!$B$10,0)+IF(Q90&gt;=2,파라미터!$B$11,0)+IF(Q90&gt;=3,파라미터!$B$12,0))))-IF(MOD($A90-1,파라미터!$B$22)=0,파라미터!$B$21,0)</f>
        <v/>
      </c>
      <c r="S90" s="15">
        <f>MAX(0,S89+R90)</f>
        <v/>
      </c>
    </row>
    <row r="91">
      <c r="A91" s="13" t="n">
        <v>87</v>
      </c>
      <c r="B91" s="14">
        <f>IF(OR($A91&lt;파라미터!$B$6,MOD($A91,파라미터!$B$6)&gt;=1),0,INT((1-MOD($A91,파라미터!$B$6)-1)/파라미터!$B$6)+1)</f>
        <v/>
      </c>
      <c r="C91" s="15">
        <f>((B91*파라미터!$B$5-파라미터!$B$5*(IF(B91&gt;=1,파라미터!$B$10,0)+IF(B91&gt;=2,파라미터!$B$11,0)+IF(B91&gt;=3,파라미터!$B$12,0)))+MAX(0,파라미터!$B$5*(IF(B91&gt;=1,파라미터!$B$10,0)+IF(B91&gt;=2,파라미터!$B$11,0)+IF(B91&gt;=3,파라미터!$B$12,0))-파라미터!$B$15))*파라미터!$B$16-B91*파라미터!$B$7-MAX(0,파라미터!$B$19+파라미터!$B$20-MIN(파라미터!$B$15,파라미터!$B$5*(IF(B91&gt;=1,파라미터!$B$10,0)+IF(B91&gt;=2,파라미터!$B$11,0)+IF(B91&gt;=3,파라미터!$B$12,0))))-IF(MOD($A91-1,파라미터!$B$22)=0,파라미터!$B$21,0)</f>
        <v/>
      </c>
      <c r="D91" s="15">
        <f>MAX(0,D90+C91)</f>
        <v/>
      </c>
      <c r="E91" s="14">
        <f>IF(OR($A91&lt;파라미터!$B$6,MOD($A91,파라미터!$B$6)&gt;=2),0,INT((2-MOD($A91,파라미터!$B$6)-1)/파라미터!$B$6)+1)</f>
        <v/>
      </c>
      <c r="F91" s="15">
        <f>((E91*파라미터!$B$5-파라미터!$B$5*(IF(E91&gt;=1,파라미터!$B$10,0)+IF(E91&gt;=2,파라미터!$B$11,0)+IF(E91&gt;=3,파라미터!$B$12,0)))+MAX(0,파라미터!$B$5*(IF(E91&gt;=1,파라미터!$B$10,0)+IF(E91&gt;=2,파라미터!$B$11,0)+IF(E91&gt;=3,파라미터!$B$12,0))-파라미터!$B$15))*파라미터!$B$16-E91*파라미터!$B$7-MAX(0,파라미터!$B$19+파라미터!$B$20-MIN(파라미터!$B$15,파라미터!$B$5*(IF(E91&gt;=1,파라미터!$B$10,0)+IF(E91&gt;=2,파라미터!$B$11,0)+IF(E91&gt;=3,파라미터!$B$12,0))))-IF(MOD($A91-1,파라미터!$B$22)=0,파라미터!$B$21,0)</f>
        <v/>
      </c>
      <c r="G91" s="15">
        <f>MAX(0,G90+F91)</f>
        <v/>
      </c>
      <c r="H91" s="14">
        <f>IF(OR($A91&lt;파라미터!$B$6,MOD($A91,파라미터!$B$6)&gt;=3),0,INT((3-MOD($A91,파라미터!$B$6)-1)/파라미터!$B$6)+1)</f>
        <v/>
      </c>
      <c r="I91" s="15">
        <f>((H91*파라미터!$B$5-파라미터!$B$5*(IF(H91&gt;=1,파라미터!$B$10,0)+IF(H91&gt;=2,파라미터!$B$11,0)+IF(H91&gt;=3,파라미터!$B$12,0)))+MAX(0,파라미터!$B$5*(IF(H91&gt;=1,파라미터!$B$10,0)+IF(H91&gt;=2,파라미터!$B$11,0)+IF(H91&gt;=3,파라미터!$B$12,0))-파라미터!$B$15))*파라미터!$B$16-H91*파라미터!$B$7-MAX(0,파라미터!$B$19+파라미터!$B$20-MIN(파라미터!$B$15,파라미터!$B$5*(IF(H91&gt;=1,파라미터!$B$10,0)+IF(H91&gt;=2,파라미터!$B$11,0)+IF(H91&gt;=3,파라미터!$B$12,0))))-IF(MOD($A91-1,파라미터!$B$22)=0,파라미터!$B$21,0)</f>
        <v/>
      </c>
      <c r="J91" s="15">
        <f>MAX(0,J90+I91)</f>
        <v/>
      </c>
      <c r="K91" s="14">
        <f>IF(OR($A91&lt;파라미터!$B$6,MOD($A91,파라미터!$B$6)&gt;=5),0,INT((5-MOD($A91,파라미터!$B$6)-1)/파라미터!$B$6)+1)</f>
        <v/>
      </c>
      <c r="L91" s="15">
        <f>((K91*파라미터!$B$5-파라미터!$B$5*(IF(K91&gt;=1,파라미터!$B$10,0)+IF(K91&gt;=2,파라미터!$B$11,0)+IF(K91&gt;=3,파라미터!$B$12,0)))+MAX(0,파라미터!$B$5*(IF(K91&gt;=1,파라미터!$B$10,0)+IF(K91&gt;=2,파라미터!$B$11,0)+IF(K91&gt;=3,파라미터!$B$12,0))-파라미터!$B$15))*파라미터!$B$16-K91*파라미터!$B$7-MAX(0,파라미터!$B$19+파라미터!$B$20-MIN(파라미터!$B$15,파라미터!$B$5*(IF(K91&gt;=1,파라미터!$B$10,0)+IF(K91&gt;=2,파라미터!$B$11,0)+IF(K91&gt;=3,파라미터!$B$12,0))))-IF(MOD($A91-1,파라미터!$B$22)=0,파라미터!$B$21,0)</f>
        <v/>
      </c>
      <c r="M91" s="15">
        <f>MAX(0,M90+L91)</f>
        <v/>
      </c>
      <c r="N91" s="14">
        <f>IF(OR($A91&lt;파라미터!$B$6,MOD($A91,파라미터!$B$6)&gt;=10),0,INT((10-MOD($A91,파라미터!$B$6)-1)/파라미터!$B$6)+1)</f>
        <v/>
      </c>
      <c r="O91" s="15">
        <f>((N91*파라미터!$B$5-파라미터!$B$5*(IF(N91&gt;=1,파라미터!$B$10,0)+IF(N91&gt;=2,파라미터!$B$11,0)+IF(N91&gt;=3,파라미터!$B$12,0)))+MAX(0,파라미터!$B$5*(IF(N91&gt;=1,파라미터!$B$10,0)+IF(N91&gt;=2,파라미터!$B$11,0)+IF(N91&gt;=3,파라미터!$B$12,0))-파라미터!$B$15))*파라미터!$B$16-N91*파라미터!$B$7-MAX(0,파라미터!$B$19+파라미터!$B$20-MIN(파라미터!$B$15,파라미터!$B$5*(IF(N91&gt;=1,파라미터!$B$10,0)+IF(N91&gt;=2,파라미터!$B$11,0)+IF(N91&gt;=3,파라미터!$B$12,0))))-IF(MOD($A91-1,파라미터!$B$22)=0,파라미터!$B$21,0)</f>
        <v/>
      </c>
      <c r="P91" s="15">
        <f>MAX(0,P90+O91)</f>
        <v/>
      </c>
      <c r="Q91" s="14">
        <f>IF(OR($A91&lt;파라미터!$B$6,MOD($A91,파라미터!$B$6)&gt;=20),0,INT((20-MOD($A91,파라미터!$B$6)-1)/파라미터!$B$6)+1)</f>
        <v/>
      </c>
      <c r="R91" s="15">
        <f>((Q91*파라미터!$B$5-파라미터!$B$5*(IF(Q91&gt;=1,파라미터!$B$10,0)+IF(Q91&gt;=2,파라미터!$B$11,0)+IF(Q91&gt;=3,파라미터!$B$12,0)))+MAX(0,파라미터!$B$5*(IF(Q91&gt;=1,파라미터!$B$10,0)+IF(Q91&gt;=2,파라미터!$B$11,0)+IF(Q91&gt;=3,파라미터!$B$12,0))-파라미터!$B$15))*파라미터!$B$16-Q91*파라미터!$B$7-MAX(0,파라미터!$B$19+파라미터!$B$20-MIN(파라미터!$B$15,파라미터!$B$5*(IF(Q91&gt;=1,파라미터!$B$10,0)+IF(Q91&gt;=2,파라미터!$B$11,0)+IF(Q91&gt;=3,파라미터!$B$12,0))))-IF(MOD($A91-1,파라미터!$B$22)=0,파라미터!$B$21,0)</f>
        <v/>
      </c>
      <c r="S91" s="15">
        <f>MAX(0,S90+R91)</f>
        <v/>
      </c>
    </row>
    <row r="92">
      <c r="A92" s="13" t="n">
        <v>88</v>
      </c>
      <c r="B92" s="14">
        <f>IF(OR($A92&lt;파라미터!$B$6,MOD($A92,파라미터!$B$6)&gt;=1),0,INT((1-MOD($A92,파라미터!$B$6)-1)/파라미터!$B$6)+1)</f>
        <v/>
      </c>
      <c r="C92" s="15">
        <f>((B92*파라미터!$B$5-파라미터!$B$5*(IF(B92&gt;=1,파라미터!$B$10,0)+IF(B92&gt;=2,파라미터!$B$11,0)+IF(B92&gt;=3,파라미터!$B$12,0)))+MAX(0,파라미터!$B$5*(IF(B92&gt;=1,파라미터!$B$10,0)+IF(B92&gt;=2,파라미터!$B$11,0)+IF(B92&gt;=3,파라미터!$B$12,0))-파라미터!$B$15))*파라미터!$B$16-B92*파라미터!$B$7-MAX(0,파라미터!$B$19+파라미터!$B$20-MIN(파라미터!$B$15,파라미터!$B$5*(IF(B92&gt;=1,파라미터!$B$10,0)+IF(B92&gt;=2,파라미터!$B$11,0)+IF(B92&gt;=3,파라미터!$B$12,0))))-IF(MOD($A92-1,파라미터!$B$22)=0,파라미터!$B$21,0)</f>
        <v/>
      </c>
      <c r="D92" s="15">
        <f>MAX(0,D91+C92)</f>
        <v/>
      </c>
      <c r="E92" s="14">
        <f>IF(OR($A92&lt;파라미터!$B$6,MOD($A92,파라미터!$B$6)&gt;=2),0,INT((2-MOD($A92,파라미터!$B$6)-1)/파라미터!$B$6)+1)</f>
        <v/>
      </c>
      <c r="F92" s="15">
        <f>((E92*파라미터!$B$5-파라미터!$B$5*(IF(E92&gt;=1,파라미터!$B$10,0)+IF(E92&gt;=2,파라미터!$B$11,0)+IF(E92&gt;=3,파라미터!$B$12,0)))+MAX(0,파라미터!$B$5*(IF(E92&gt;=1,파라미터!$B$10,0)+IF(E92&gt;=2,파라미터!$B$11,0)+IF(E92&gt;=3,파라미터!$B$12,0))-파라미터!$B$15))*파라미터!$B$16-E92*파라미터!$B$7-MAX(0,파라미터!$B$19+파라미터!$B$20-MIN(파라미터!$B$15,파라미터!$B$5*(IF(E92&gt;=1,파라미터!$B$10,0)+IF(E92&gt;=2,파라미터!$B$11,0)+IF(E92&gt;=3,파라미터!$B$12,0))))-IF(MOD($A92-1,파라미터!$B$22)=0,파라미터!$B$21,0)</f>
        <v/>
      </c>
      <c r="G92" s="15">
        <f>MAX(0,G91+F92)</f>
        <v/>
      </c>
      <c r="H92" s="14">
        <f>IF(OR($A92&lt;파라미터!$B$6,MOD($A92,파라미터!$B$6)&gt;=3),0,INT((3-MOD($A92,파라미터!$B$6)-1)/파라미터!$B$6)+1)</f>
        <v/>
      </c>
      <c r="I92" s="15">
        <f>((H92*파라미터!$B$5-파라미터!$B$5*(IF(H92&gt;=1,파라미터!$B$10,0)+IF(H92&gt;=2,파라미터!$B$11,0)+IF(H92&gt;=3,파라미터!$B$12,0)))+MAX(0,파라미터!$B$5*(IF(H92&gt;=1,파라미터!$B$10,0)+IF(H92&gt;=2,파라미터!$B$11,0)+IF(H92&gt;=3,파라미터!$B$12,0))-파라미터!$B$15))*파라미터!$B$16-H92*파라미터!$B$7-MAX(0,파라미터!$B$19+파라미터!$B$20-MIN(파라미터!$B$15,파라미터!$B$5*(IF(H92&gt;=1,파라미터!$B$10,0)+IF(H92&gt;=2,파라미터!$B$11,0)+IF(H92&gt;=3,파라미터!$B$12,0))))-IF(MOD($A92-1,파라미터!$B$22)=0,파라미터!$B$21,0)</f>
        <v/>
      </c>
      <c r="J92" s="15">
        <f>MAX(0,J91+I92)</f>
        <v/>
      </c>
      <c r="K92" s="14">
        <f>IF(OR($A92&lt;파라미터!$B$6,MOD($A92,파라미터!$B$6)&gt;=5),0,INT((5-MOD($A92,파라미터!$B$6)-1)/파라미터!$B$6)+1)</f>
        <v/>
      </c>
      <c r="L92" s="15">
        <f>((K92*파라미터!$B$5-파라미터!$B$5*(IF(K92&gt;=1,파라미터!$B$10,0)+IF(K92&gt;=2,파라미터!$B$11,0)+IF(K92&gt;=3,파라미터!$B$12,0)))+MAX(0,파라미터!$B$5*(IF(K92&gt;=1,파라미터!$B$10,0)+IF(K92&gt;=2,파라미터!$B$11,0)+IF(K92&gt;=3,파라미터!$B$12,0))-파라미터!$B$15))*파라미터!$B$16-K92*파라미터!$B$7-MAX(0,파라미터!$B$19+파라미터!$B$20-MIN(파라미터!$B$15,파라미터!$B$5*(IF(K92&gt;=1,파라미터!$B$10,0)+IF(K92&gt;=2,파라미터!$B$11,0)+IF(K92&gt;=3,파라미터!$B$12,0))))-IF(MOD($A92-1,파라미터!$B$22)=0,파라미터!$B$21,0)</f>
        <v/>
      </c>
      <c r="M92" s="15">
        <f>MAX(0,M91+L92)</f>
        <v/>
      </c>
      <c r="N92" s="14">
        <f>IF(OR($A92&lt;파라미터!$B$6,MOD($A92,파라미터!$B$6)&gt;=10),0,INT((10-MOD($A92,파라미터!$B$6)-1)/파라미터!$B$6)+1)</f>
        <v/>
      </c>
      <c r="O92" s="15">
        <f>((N92*파라미터!$B$5-파라미터!$B$5*(IF(N92&gt;=1,파라미터!$B$10,0)+IF(N92&gt;=2,파라미터!$B$11,0)+IF(N92&gt;=3,파라미터!$B$12,0)))+MAX(0,파라미터!$B$5*(IF(N92&gt;=1,파라미터!$B$10,0)+IF(N92&gt;=2,파라미터!$B$11,0)+IF(N92&gt;=3,파라미터!$B$12,0))-파라미터!$B$15))*파라미터!$B$16-N92*파라미터!$B$7-MAX(0,파라미터!$B$19+파라미터!$B$20-MIN(파라미터!$B$15,파라미터!$B$5*(IF(N92&gt;=1,파라미터!$B$10,0)+IF(N92&gt;=2,파라미터!$B$11,0)+IF(N92&gt;=3,파라미터!$B$12,0))))-IF(MOD($A92-1,파라미터!$B$22)=0,파라미터!$B$21,0)</f>
        <v/>
      </c>
      <c r="P92" s="15">
        <f>MAX(0,P91+O92)</f>
        <v/>
      </c>
      <c r="Q92" s="14">
        <f>IF(OR($A92&lt;파라미터!$B$6,MOD($A92,파라미터!$B$6)&gt;=20),0,INT((20-MOD($A92,파라미터!$B$6)-1)/파라미터!$B$6)+1)</f>
        <v/>
      </c>
      <c r="R92" s="15">
        <f>((Q92*파라미터!$B$5-파라미터!$B$5*(IF(Q92&gt;=1,파라미터!$B$10,0)+IF(Q92&gt;=2,파라미터!$B$11,0)+IF(Q92&gt;=3,파라미터!$B$12,0)))+MAX(0,파라미터!$B$5*(IF(Q92&gt;=1,파라미터!$B$10,0)+IF(Q92&gt;=2,파라미터!$B$11,0)+IF(Q92&gt;=3,파라미터!$B$12,0))-파라미터!$B$15))*파라미터!$B$16-Q92*파라미터!$B$7-MAX(0,파라미터!$B$19+파라미터!$B$20-MIN(파라미터!$B$15,파라미터!$B$5*(IF(Q92&gt;=1,파라미터!$B$10,0)+IF(Q92&gt;=2,파라미터!$B$11,0)+IF(Q92&gt;=3,파라미터!$B$12,0))))-IF(MOD($A92-1,파라미터!$B$22)=0,파라미터!$B$21,0)</f>
        <v/>
      </c>
      <c r="S92" s="15">
        <f>MAX(0,S91+R92)</f>
        <v/>
      </c>
    </row>
    <row r="93">
      <c r="A93" s="13" t="n">
        <v>89</v>
      </c>
      <c r="B93" s="14">
        <f>IF(OR($A93&lt;파라미터!$B$6,MOD($A93,파라미터!$B$6)&gt;=1),0,INT((1-MOD($A93,파라미터!$B$6)-1)/파라미터!$B$6)+1)</f>
        <v/>
      </c>
      <c r="C93" s="15">
        <f>((B93*파라미터!$B$5-파라미터!$B$5*(IF(B93&gt;=1,파라미터!$B$10,0)+IF(B93&gt;=2,파라미터!$B$11,0)+IF(B93&gt;=3,파라미터!$B$12,0)))+MAX(0,파라미터!$B$5*(IF(B93&gt;=1,파라미터!$B$10,0)+IF(B93&gt;=2,파라미터!$B$11,0)+IF(B93&gt;=3,파라미터!$B$12,0))-파라미터!$B$15))*파라미터!$B$16-B93*파라미터!$B$7-MAX(0,파라미터!$B$19+파라미터!$B$20-MIN(파라미터!$B$15,파라미터!$B$5*(IF(B93&gt;=1,파라미터!$B$10,0)+IF(B93&gt;=2,파라미터!$B$11,0)+IF(B93&gt;=3,파라미터!$B$12,0))))-IF(MOD($A93-1,파라미터!$B$22)=0,파라미터!$B$21,0)</f>
        <v/>
      </c>
      <c r="D93" s="15">
        <f>MAX(0,D92+C93)</f>
        <v/>
      </c>
      <c r="E93" s="14">
        <f>IF(OR($A93&lt;파라미터!$B$6,MOD($A93,파라미터!$B$6)&gt;=2),0,INT((2-MOD($A93,파라미터!$B$6)-1)/파라미터!$B$6)+1)</f>
        <v/>
      </c>
      <c r="F93" s="15">
        <f>((E93*파라미터!$B$5-파라미터!$B$5*(IF(E93&gt;=1,파라미터!$B$10,0)+IF(E93&gt;=2,파라미터!$B$11,0)+IF(E93&gt;=3,파라미터!$B$12,0)))+MAX(0,파라미터!$B$5*(IF(E93&gt;=1,파라미터!$B$10,0)+IF(E93&gt;=2,파라미터!$B$11,0)+IF(E93&gt;=3,파라미터!$B$12,0))-파라미터!$B$15))*파라미터!$B$16-E93*파라미터!$B$7-MAX(0,파라미터!$B$19+파라미터!$B$20-MIN(파라미터!$B$15,파라미터!$B$5*(IF(E93&gt;=1,파라미터!$B$10,0)+IF(E93&gt;=2,파라미터!$B$11,0)+IF(E93&gt;=3,파라미터!$B$12,0))))-IF(MOD($A93-1,파라미터!$B$22)=0,파라미터!$B$21,0)</f>
        <v/>
      </c>
      <c r="G93" s="15">
        <f>MAX(0,G92+F93)</f>
        <v/>
      </c>
      <c r="H93" s="14">
        <f>IF(OR($A93&lt;파라미터!$B$6,MOD($A93,파라미터!$B$6)&gt;=3),0,INT((3-MOD($A93,파라미터!$B$6)-1)/파라미터!$B$6)+1)</f>
        <v/>
      </c>
      <c r="I93" s="15">
        <f>((H93*파라미터!$B$5-파라미터!$B$5*(IF(H93&gt;=1,파라미터!$B$10,0)+IF(H93&gt;=2,파라미터!$B$11,0)+IF(H93&gt;=3,파라미터!$B$12,0)))+MAX(0,파라미터!$B$5*(IF(H93&gt;=1,파라미터!$B$10,0)+IF(H93&gt;=2,파라미터!$B$11,0)+IF(H93&gt;=3,파라미터!$B$12,0))-파라미터!$B$15))*파라미터!$B$16-H93*파라미터!$B$7-MAX(0,파라미터!$B$19+파라미터!$B$20-MIN(파라미터!$B$15,파라미터!$B$5*(IF(H93&gt;=1,파라미터!$B$10,0)+IF(H93&gt;=2,파라미터!$B$11,0)+IF(H93&gt;=3,파라미터!$B$12,0))))-IF(MOD($A93-1,파라미터!$B$22)=0,파라미터!$B$21,0)</f>
        <v/>
      </c>
      <c r="J93" s="15">
        <f>MAX(0,J92+I93)</f>
        <v/>
      </c>
      <c r="K93" s="14">
        <f>IF(OR($A93&lt;파라미터!$B$6,MOD($A93,파라미터!$B$6)&gt;=5),0,INT((5-MOD($A93,파라미터!$B$6)-1)/파라미터!$B$6)+1)</f>
        <v/>
      </c>
      <c r="L93" s="15">
        <f>((K93*파라미터!$B$5-파라미터!$B$5*(IF(K93&gt;=1,파라미터!$B$10,0)+IF(K93&gt;=2,파라미터!$B$11,0)+IF(K93&gt;=3,파라미터!$B$12,0)))+MAX(0,파라미터!$B$5*(IF(K93&gt;=1,파라미터!$B$10,0)+IF(K93&gt;=2,파라미터!$B$11,0)+IF(K93&gt;=3,파라미터!$B$12,0))-파라미터!$B$15))*파라미터!$B$16-K93*파라미터!$B$7-MAX(0,파라미터!$B$19+파라미터!$B$20-MIN(파라미터!$B$15,파라미터!$B$5*(IF(K93&gt;=1,파라미터!$B$10,0)+IF(K93&gt;=2,파라미터!$B$11,0)+IF(K93&gt;=3,파라미터!$B$12,0))))-IF(MOD($A93-1,파라미터!$B$22)=0,파라미터!$B$21,0)</f>
        <v/>
      </c>
      <c r="M93" s="15">
        <f>MAX(0,M92+L93)</f>
        <v/>
      </c>
      <c r="N93" s="14">
        <f>IF(OR($A93&lt;파라미터!$B$6,MOD($A93,파라미터!$B$6)&gt;=10),0,INT((10-MOD($A93,파라미터!$B$6)-1)/파라미터!$B$6)+1)</f>
        <v/>
      </c>
      <c r="O93" s="15">
        <f>((N93*파라미터!$B$5-파라미터!$B$5*(IF(N93&gt;=1,파라미터!$B$10,0)+IF(N93&gt;=2,파라미터!$B$11,0)+IF(N93&gt;=3,파라미터!$B$12,0)))+MAX(0,파라미터!$B$5*(IF(N93&gt;=1,파라미터!$B$10,0)+IF(N93&gt;=2,파라미터!$B$11,0)+IF(N93&gt;=3,파라미터!$B$12,0))-파라미터!$B$15))*파라미터!$B$16-N93*파라미터!$B$7-MAX(0,파라미터!$B$19+파라미터!$B$20-MIN(파라미터!$B$15,파라미터!$B$5*(IF(N93&gt;=1,파라미터!$B$10,0)+IF(N93&gt;=2,파라미터!$B$11,0)+IF(N93&gt;=3,파라미터!$B$12,0))))-IF(MOD($A93-1,파라미터!$B$22)=0,파라미터!$B$21,0)</f>
        <v/>
      </c>
      <c r="P93" s="15">
        <f>MAX(0,P92+O93)</f>
        <v/>
      </c>
      <c r="Q93" s="14">
        <f>IF(OR($A93&lt;파라미터!$B$6,MOD($A93,파라미터!$B$6)&gt;=20),0,INT((20-MOD($A93,파라미터!$B$6)-1)/파라미터!$B$6)+1)</f>
        <v/>
      </c>
      <c r="R93" s="15">
        <f>((Q93*파라미터!$B$5-파라미터!$B$5*(IF(Q93&gt;=1,파라미터!$B$10,0)+IF(Q93&gt;=2,파라미터!$B$11,0)+IF(Q93&gt;=3,파라미터!$B$12,0)))+MAX(0,파라미터!$B$5*(IF(Q93&gt;=1,파라미터!$B$10,0)+IF(Q93&gt;=2,파라미터!$B$11,0)+IF(Q93&gt;=3,파라미터!$B$12,0))-파라미터!$B$15))*파라미터!$B$16-Q93*파라미터!$B$7-MAX(0,파라미터!$B$19+파라미터!$B$20-MIN(파라미터!$B$15,파라미터!$B$5*(IF(Q93&gt;=1,파라미터!$B$10,0)+IF(Q93&gt;=2,파라미터!$B$11,0)+IF(Q93&gt;=3,파라미터!$B$12,0))))-IF(MOD($A93-1,파라미터!$B$22)=0,파라미터!$B$21,0)</f>
        <v/>
      </c>
      <c r="S93" s="15">
        <f>MAX(0,S92+R93)</f>
        <v/>
      </c>
    </row>
    <row r="94">
      <c r="A94" s="13" t="n">
        <v>90</v>
      </c>
      <c r="B94" s="14">
        <f>IF(OR($A94&lt;파라미터!$B$6,MOD($A94,파라미터!$B$6)&gt;=1),0,INT((1-MOD($A94,파라미터!$B$6)-1)/파라미터!$B$6)+1)</f>
        <v/>
      </c>
      <c r="C94" s="15">
        <f>((B94*파라미터!$B$5-파라미터!$B$5*(IF(B94&gt;=1,파라미터!$B$10,0)+IF(B94&gt;=2,파라미터!$B$11,0)+IF(B94&gt;=3,파라미터!$B$12,0)))+MAX(0,파라미터!$B$5*(IF(B94&gt;=1,파라미터!$B$10,0)+IF(B94&gt;=2,파라미터!$B$11,0)+IF(B94&gt;=3,파라미터!$B$12,0))-파라미터!$B$15))*파라미터!$B$16-B94*파라미터!$B$7-MAX(0,파라미터!$B$19+파라미터!$B$20-MIN(파라미터!$B$15,파라미터!$B$5*(IF(B94&gt;=1,파라미터!$B$10,0)+IF(B94&gt;=2,파라미터!$B$11,0)+IF(B94&gt;=3,파라미터!$B$12,0))))-IF(MOD($A94-1,파라미터!$B$22)=0,파라미터!$B$21,0)</f>
        <v/>
      </c>
      <c r="D94" s="15">
        <f>MAX(0,D93+C94)</f>
        <v/>
      </c>
      <c r="E94" s="14">
        <f>IF(OR($A94&lt;파라미터!$B$6,MOD($A94,파라미터!$B$6)&gt;=2),0,INT((2-MOD($A94,파라미터!$B$6)-1)/파라미터!$B$6)+1)</f>
        <v/>
      </c>
      <c r="F94" s="15">
        <f>((E94*파라미터!$B$5-파라미터!$B$5*(IF(E94&gt;=1,파라미터!$B$10,0)+IF(E94&gt;=2,파라미터!$B$11,0)+IF(E94&gt;=3,파라미터!$B$12,0)))+MAX(0,파라미터!$B$5*(IF(E94&gt;=1,파라미터!$B$10,0)+IF(E94&gt;=2,파라미터!$B$11,0)+IF(E94&gt;=3,파라미터!$B$12,0))-파라미터!$B$15))*파라미터!$B$16-E94*파라미터!$B$7-MAX(0,파라미터!$B$19+파라미터!$B$20-MIN(파라미터!$B$15,파라미터!$B$5*(IF(E94&gt;=1,파라미터!$B$10,0)+IF(E94&gt;=2,파라미터!$B$11,0)+IF(E94&gt;=3,파라미터!$B$12,0))))-IF(MOD($A94-1,파라미터!$B$22)=0,파라미터!$B$21,0)</f>
        <v/>
      </c>
      <c r="G94" s="15">
        <f>MAX(0,G93+F94)</f>
        <v/>
      </c>
      <c r="H94" s="14">
        <f>IF(OR($A94&lt;파라미터!$B$6,MOD($A94,파라미터!$B$6)&gt;=3),0,INT((3-MOD($A94,파라미터!$B$6)-1)/파라미터!$B$6)+1)</f>
        <v/>
      </c>
      <c r="I94" s="15">
        <f>((H94*파라미터!$B$5-파라미터!$B$5*(IF(H94&gt;=1,파라미터!$B$10,0)+IF(H94&gt;=2,파라미터!$B$11,0)+IF(H94&gt;=3,파라미터!$B$12,0)))+MAX(0,파라미터!$B$5*(IF(H94&gt;=1,파라미터!$B$10,0)+IF(H94&gt;=2,파라미터!$B$11,0)+IF(H94&gt;=3,파라미터!$B$12,0))-파라미터!$B$15))*파라미터!$B$16-H94*파라미터!$B$7-MAX(0,파라미터!$B$19+파라미터!$B$20-MIN(파라미터!$B$15,파라미터!$B$5*(IF(H94&gt;=1,파라미터!$B$10,0)+IF(H94&gt;=2,파라미터!$B$11,0)+IF(H94&gt;=3,파라미터!$B$12,0))))-IF(MOD($A94-1,파라미터!$B$22)=0,파라미터!$B$21,0)</f>
        <v/>
      </c>
      <c r="J94" s="15">
        <f>MAX(0,J93+I94)</f>
        <v/>
      </c>
      <c r="K94" s="14">
        <f>IF(OR($A94&lt;파라미터!$B$6,MOD($A94,파라미터!$B$6)&gt;=5),0,INT((5-MOD($A94,파라미터!$B$6)-1)/파라미터!$B$6)+1)</f>
        <v/>
      </c>
      <c r="L94" s="15">
        <f>((K94*파라미터!$B$5-파라미터!$B$5*(IF(K94&gt;=1,파라미터!$B$10,0)+IF(K94&gt;=2,파라미터!$B$11,0)+IF(K94&gt;=3,파라미터!$B$12,0)))+MAX(0,파라미터!$B$5*(IF(K94&gt;=1,파라미터!$B$10,0)+IF(K94&gt;=2,파라미터!$B$11,0)+IF(K94&gt;=3,파라미터!$B$12,0))-파라미터!$B$15))*파라미터!$B$16-K94*파라미터!$B$7-MAX(0,파라미터!$B$19+파라미터!$B$20-MIN(파라미터!$B$15,파라미터!$B$5*(IF(K94&gt;=1,파라미터!$B$10,0)+IF(K94&gt;=2,파라미터!$B$11,0)+IF(K94&gt;=3,파라미터!$B$12,0))))-IF(MOD($A94-1,파라미터!$B$22)=0,파라미터!$B$21,0)</f>
        <v/>
      </c>
      <c r="M94" s="15">
        <f>MAX(0,M93+L94)</f>
        <v/>
      </c>
      <c r="N94" s="14">
        <f>IF(OR($A94&lt;파라미터!$B$6,MOD($A94,파라미터!$B$6)&gt;=10),0,INT((10-MOD($A94,파라미터!$B$6)-1)/파라미터!$B$6)+1)</f>
        <v/>
      </c>
      <c r="O94" s="15">
        <f>((N94*파라미터!$B$5-파라미터!$B$5*(IF(N94&gt;=1,파라미터!$B$10,0)+IF(N94&gt;=2,파라미터!$B$11,0)+IF(N94&gt;=3,파라미터!$B$12,0)))+MAX(0,파라미터!$B$5*(IF(N94&gt;=1,파라미터!$B$10,0)+IF(N94&gt;=2,파라미터!$B$11,0)+IF(N94&gt;=3,파라미터!$B$12,0))-파라미터!$B$15))*파라미터!$B$16-N94*파라미터!$B$7-MAX(0,파라미터!$B$19+파라미터!$B$20-MIN(파라미터!$B$15,파라미터!$B$5*(IF(N94&gt;=1,파라미터!$B$10,0)+IF(N94&gt;=2,파라미터!$B$11,0)+IF(N94&gt;=3,파라미터!$B$12,0))))-IF(MOD($A94-1,파라미터!$B$22)=0,파라미터!$B$21,0)</f>
        <v/>
      </c>
      <c r="P94" s="15">
        <f>MAX(0,P93+O94)</f>
        <v/>
      </c>
      <c r="Q94" s="14">
        <f>IF(OR($A94&lt;파라미터!$B$6,MOD($A94,파라미터!$B$6)&gt;=20),0,INT((20-MOD($A94,파라미터!$B$6)-1)/파라미터!$B$6)+1)</f>
        <v/>
      </c>
      <c r="R94" s="15">
        <f>((Q94*파라미터!$B$5-파라미터!$B$5*(IF(Q94&gt;=1,파라미터!$B$10,0)+IF(Q94&gt;=2,파라미터!$B$11,0)+IF(Q94&gt;=3,파라미터!$B$12,0)))+MAX(0,파라미터!$B$5*(IF(Q94&gt;=1,파라미터!$B$10,0)+IF(Q94&gt;=2,파라미터!$B$11,0)+IF(Q94&gt;=3,파라미터!$B$12,0))-파라미터!$B$15))*파라미터!$B$16-Q94*파라미터!$B$7-MAX(0,파라미터!$B$19+파라미터!$B$20-MIN(파라미터!$B$15,파라미터!$B$5*(IF(Q94&gt;=1,파라미터!$B$10,0)+IF(Q94&gt;=2,파라미터!$B$11,0)+IF(Q94&gt;=3,파라미터!$B$12,0))))-IF(MOD($A94-1,파라미터!$B$22)=0,파라미터!$B$21,0)</f>
        <v/>
      </c>
      <c r="S94" s="15">
        <f>MAX(0,S93+R94)</f>
        <v/>
      </c>
    </row>
    <row r="95">
      <c r="A95" s="13" t="n">
        <v>91</v>
      </c>
      <c r="B95" s="14">
        <f>IF(OR($A95&lt;파라미터!$B$6,MOD($A95,파라미터!$B$6)&gt;=1),0,INT((1-MOD($A95,파라미터!$B$6)-1)/파라미터!$B$6)+1)</f>
        <v/>
      </c>
      <c r="C95" s="15">
        <f>((B95*파라미터!$B$5-파라미터!$B$5*(IF(B95&gt;=1,파라미터!$B$10,0)+IF(B95&gt;=2,파라미터!$B$11,0)+IF(B95&gt;=3,파라미터!$B$12,0)))+MAX(0,파라미터!$B$5*(IF(B95&gt;=1,파라미터!$B$10,0)+IF(B95&gt;=2,파라미터!$B$11,0)+IF(B95&gt;=3,파라미터!$B$12,0))-파라미터!$B$15))*파라미터!$B$16-B95*파라미터!$B$7-MAX(0,파라미터!$B$19+파라미터!$B$20-MIN(파라미터!$B$15,파라미터!$B$5*(IF(B95&gt;=1,파라미터!$B$10,0)+IF(B95&gt;=2,파라미터!$B$11,0)+IF(B95&gt;=3,파라미터!$B$12,0))))-IF(MOD($A95-1,파라미터!$B$22)=0,파라미터!$B$21,0)</f>
        <v/>
      </c>
      <c r="D95" s="15">
        <f>MAX(0,D94+C95)</f>
        <v/>
      </c>
      <c r="E95" s="14">
        <f>IF(OR($A95&lt;파라미터!$B$6,MOD($A95,파라미터!$B$6)&gt;=2),0,INT((2-MOD($A95,파라미터!$B$6)-1)/파라미터!$B$6)+1)</f>
        <v/>
      </c>
      <c r="F95" s="15">
        <f>((E95*파라미터!$B$5-파라미터!$B$5*(IF(E95&gt;=1,파라미터!$B$10,0)+IF(E95&gt;=2,파라미터!$B$11,0)+IF(E95&gt;=3,파라미터!$B$12,0)))+MAX(0,파라미터!$B$5*(IF(E95&gt;=1,파라미터!$B$10,0)+IF(E95&gt;=2,파라미터!$B$11,0)+IF(E95&gt;=3,파라미터!$B$12,0))-파라미터!$B$15))*파라미터!$B$16-E95*파라미터!$B$7-MAX(0,파라미터!$B$19+파라미터!$B$20-MIN(파라미터!$B$15,파라미터!$B$5*(IF(E95&gt;=1,파라미터!$B$10,0)+IF(E95&gt;=2,파라미터!$B$11,0)+IF(E95&gt;=3,파라미터!$B$12,0))))-IF(MOD($A95-1,파라미터!$B$22)=0,파라미터!$B$21,0)</f>
        <v/>
      </c>
      <c r="G95" s="15">
        <f>MAX(0,G94+F95)</f>
        <v/>
      </c>
      <c r="H95" s="14">
        <f>IF(OR($A95&lt;파라미터!$B$6,MOD($A95,파라미터!$B$6)&gt;=3),0,INT((3-MOD($A95,파라미터!$B$6)-1)/파라미터!$B$6)+1)</f>
        <v/>
      </c>
      <c r="I95" s="15">
        <f>((H95*파라미터!$B$5-파라미터!$B$5*(IF(H95&gt;=1,파라미터!$B$10,0)+IF(H95&gt;=2,파라미터!$B$11,0)+IF(H95&gt;=3,파라미터!$B$12,0)))+MAX(0,파라미터!$B$5*(IF(H95&gt;=1,파라미터!$B$10,0)+IF(H95&gt;=2,파라미터!$B$11,0)+IF(H95&gt;=3,파라미터!$B$12,0))-파라미터!$B$15))*파라미터!$B$16-H95*파라미터!$B$7-MAX(0,파라미터!$B$19+파라미터!$B$20-MIN(파라미터!$B$15,파라미터!$B$5*(IF(H95&gt;=1,파라미터!$B$10,0)+IF(H95&gt;=2,파라미터!$B$11,0)+IF(H95&gt;=3,파라미터!$B$12,0))))-IF(MOD($A95-1,파라미터!$B$22)=0,파라미터!$B$21,0)</f>
        <v/>
      </c>
      <c r="J95" s="15">
        <f>MAX(0,J94+I95)</f>
        <v/>
      </c>
      <c r="K95" s="14">
        <f>IF(OR($A95&lt;파라미터!$B$6,MOD($A95,파라미터!$B$6)&gt;=5),0,INT((5-MOD($A95,파라미터!$B$6)-1)/파라미터!$B$6)+1)</f>
        <v/>
      </c>
      <c r="L95" s="15">
        <f>((K95*파라미터!$B$5-파라미터!$B$5*(IF(K95&gt;=1,파라미터!$B$10,0)+IF(K95&gt;=2,파라미터!$B$11,0)+IF(K95&gt;=3,파라미터!$B$12,0)))+MAX(0,파라미터!$B$5*(IF(K95&gt;=1,파라미터!$B$10,0)+IF(K95&gt;=2,파라미터!$B$11,0)+IF(K95&gt;=3,파라미터!$B$12,0))-파라미터!$B$15))*파라미터!$B$16-K95*파라미터!$B$7-MAX(0,파라미터!$B$19+파라미터!$B$20-MIN(파라미터!$B$15,파라미터!$B$5*(IF(K95&gt;=1,파라미터!$B$10,0)+IF(K95&gt;=2,파라미터!$B$11,0)+IF(K95&gt;=3,파라미터!$B$12,0))))-IF(MOD($A95-1,파라미터!$B$22)=0,파라미터!$B$21,0)</f>
        <v/>
      </c>
      <c r="M95" s="15">
        <f>MAX(0,M94+L95)</f>
        <v/>
      </c>
      <c r="N95" s="14">
        <f>IF(OR($A95&lt;파라미터!$B$6,MOD($A95,파라미터!$B$6)&gt;=10),0,INT((10-MOD($A95,파라미터!$B$6)-1)/파라미터!$B$6)+1)</f>
        <v/>
      </c>
      <c r="O95" s="15">
        <f>((N95*파라미터!$B$5-파라미터!$B$5*(IF(N95&gt;=1,파라미터!$B$10,0)+IF(N95&gt;=2,파라미터!$B$11,0)+IF(N95&gt;=3,파라미터!$B$12,0)))+MAX(0,파라미터!$B$5*(IF(N95&gt;=1,파라미터!$B$10,0)+IF(N95&gt;=2,파라미터!$B$11,0)+IF(N95&gt;=3,파라미터!$B$12,0))-파라미터!$B$15))*파라미터!$B$16-N95*파라미터!$B$7-MAX(0,파라미터!$B$19+파라미터!$B$20-MIN(파라미터!$B$15,파라미터!$B$5*(IF(N95&gt;=1,파라미터!$B$10,0)+IF(N95&gt;=2,파라미터!$B$11,0)+IF(N95&gt;=3,파라미터!$B$12,0))))-IF(MOD($A95-1,파라미터!$B$22)=0,파라미터!$B$21,0)</f>
        <v/>
      </c>
      <c r="P95" s="15">
        <f>MAX(0,P94+O95)</f>
        <v/>
      </c>
      <c r="Q95" s="14">
        <f>IF(OR($A95&lt;파라미터!$B$6,MOD($A95,파라미터!$B$6)&gt;=20),0,INT((20-MOD($A95,파라미터!$B$6)-1)/파라미터!$B$6)+1)</f>
        <v/>
      </c>
      <c r="R95" s="15">
        <f>((Q95*파라미터!$B$5-파라미터!$B$5*(IF(Q95&gt;=1,파라미터!$B$10,0)+IF(Q95&gt;=2,파라미터!$B$11,0)+IF(Q95&gt;=3,파라미터!$B$12,0)))+MAX(0,파라미터!$B$5*(IF(Q95&gt;=1,파라미터!$B$10,0)+IF(Q95&gt;=2,파라미터!$B$11,0)+IF(Q95&gt;=3,파라미터!$B$12,0))-파라미터!$B$15))*파라미터!$B$16-Q95*파라미터!$B$7-MAX(0,파라미터!$B$19+파라미터!$B$20-MIN(파라미터!$B$15,파라미터!$B$5*(IF(Q95&gt;=1,파라미터!$B$10,0)+IF(Q95&gt;=2,파라미터!$B$11,0)+IF(Q95&gt;=3,파라미터!$B$12,0))))-IF(MOD($A95-1,파라미터!$B$22)=0,파라미터!$B$21,0)</f>
        <v/>
      </c>
      <c r="S95" s="15">
        <f>MAX(0,S94+R95)</f>
        <v/>
      </c>
    </row>
    <row r="96">
      <c r="A96" s="13" t="n">
        <v>92</v>
      </c>
      <c r="B96" s="14">
        <f>IF(OR($A96&lt;파라미터!$B$6,MOD($A96,파라미터!$B$6)&gt;=1),0,INT((1-MOD($A96,파라미터!$B$6)-1)/파라미터!$B$6)+1)</f>
        <v/>
      </c>
      <c r="C96" s="15">
        <f>((B96*파라미터!$B$5-파라미터!$B$5*(IF(B96&gt;=1,파라미터!$B$10,0)+IF(B96&gt;=2,파라미터!$B$11,0)+IF(B96&gt;=3,파라미터!$B$12,0)))+MAX(0,파라미터!$B$5*(IF(B96&gt;=1,파라미터!$B$10,0)+IF(B96&gt;=2,파라미터!$B$11,0)+IF(B96&gt;=3,파라미터!$B$12,0))-파라미터!$B$15))*파라미터!$B$16-B96*파라미터!$B$7-MAX(0,파라미터!$B$19+파라미터!$B$20-MIN(파라미터!$B$15,파라미터!$B$5*(IF(B96&gt;=1,파라미터!$B$10,0)+IF(B96&gt;=2,파라미터!$B$11,0)+IF(B96&gt;=3,파라미터!$B$12,0))))-IF(MOD($A96-1,파라미터!$B$22)=0,파라미터!$B$21,0)</f>
        <v/>
      </c>
      <c r="D96" s="15">
        <f>MAX(0,D95+C96)</f>
        <v/>
      </c>
      <c r="E96" s="14">
        <f>IF(OR($A96&lt;파라미터!$B$6,MOD($A96,파라미터!$B$6)&gt;=2),0,INT((2-MOD($A96,파라미터!$B$6)-1)/파라미터!$B$6)+1)</f>
        <v/>
      </c>
      <c r="F96" s="15">
        <f>((E96*파라미터!$B$5-파라미터!$B$5*(IF(E96&gt;=1,파라미터!$B$10,0)+IF(E96&gt;=2,파라미터!$B$11,0)+IF(E96&gt;=3,파라미터!$B$12,0)))+MAX(0,파라미터!$B$5*(IF(E96&gt;=1,파라미터!$B$10,0)+IF(E96&gt;=2,파라미터!$B$11,0)+IF(E96&gt;=3,파라미터!$B$12,0))-파라미터!$B$15))*파라미터!$B$16-E96*파라미터!$B$7-MAX(0,파라미터!$B$19+파라미터!$B$20-MIN(파라미터!$B$15,파라미터!$B$5*(IF(E96&gt;=1,파라미터!$B$10,0)+IF(E96&gt;=2,파라미터!$B$11,0)+IF(E96&gt;=3,파라미터!$B$12,0))))-IF(MOD($A96-1,파라미터!$B$22)=0,파라미터!$B$21,0)</f>
        <v/>
      </c>
      <c r="G96" s="15">
        <f>MAX(0,G95+F96)</f>
        <v/>
      </c>
      <c r="H96" s="14">
        <f>IF(OR($A96&lt;파라미터!$B$6,MOD($A96,파라미터!$B$6)&gt;=3),0,INT((3-MOD($A96,파라미터!$B$6)-1)/파라미터!$B$6)+1)</f>
        <v/>
      </c>
      <c r="I96" s="15">
        <f>((H96*파라미터!$B$5-파라미터!$B$5*(IF(H96&gt;=1,파라미터!$B$10,0)+IF(H96&gt;=2,파라미터!$B$11,0)+IF(H96&gt;=3,파라미터!$B$12,0)))+MAX(0,파라미터!$B$5*(IF(H96&gt;=1,파라미터!$B$10,0)+IF(H96&gt;=2,파라미터!$B$11,0)+IF(H96&gt;=3,파라미터!$B$12,0))-파라미터!$B$15))*파라미터!$B$16-H96*파라미터!$B$7-MAX(0,파라미터!$B$19+파라미터!$B$20-MIN(파라미터!$B$15,파라미터!$B$5*(IF(H96&gt;=1,파라미터!$B$10,0)+IF(H96&gt;=2,파라미터!$B$11,0)+IF(H96&gt;=3,파라미터!$B$12,0))))-IF(MOD($A96-1,파라미터!$B$22)=0,파라미터!$B$21,0)</f>
        <v/>
      </c>
      <c r="J96" s="15">
        <f>MAX(0,J95+I96)</f>
        <v/>
      </c>
      <c r="K96" s="14">
        <f>IF(OR($A96&lt;파라미터!$B$6,MOD($A96,파라미터!$B$6)&gt;=5),0,INT((5-MOD($A96,파라미터!$B$6)-1)/파라미터!$B$6)+1)</f>
        <v/>
      </c>
      <c r="L96" s="15">
        <f>((K96*파라미터!$B$5-파라미터!$B$5*(IF(K96&gt;=1,파라미터!$B$10,0)+IF(K96&gt;=2,파라미터!$B$11,0)+IF(K96&gt;=3,파라미터!$B$12,0)))+MAX(0,파라미터!$B$5*(IF(K96&gt;=1,파라미터!$B$10,0)+IF(K96&gt;=2,파라미터!$B$11,0)+IF(K96&gt;=3,파라미터!$B$12,0))-파라미터!$B$15))*파라미터!$B$16-K96*파라미터!$B$7-MAX(0,파라미터!$B$19+파라미터!$B$20-MIN(파라미터!$B$15,파라미터!$B$5*(IF(K96&gt;=1,파라미터!$B$10,0)+IF(K96&gt;=2,파라미터!$B$11,0)+IF(K96&gt;=3,파라미터!$B$12,0))))-IF(MOD($A96-1,파라미터!$B$22)=0,파라미터!$B$21,0)</f>
        <v/>
      </c>
      <c r="M96" s="15">
        <f>MAX(0,M95+L96)</f>
        <v/>
      </c>
      <c r="N96" s="14">
        <f>IF(OR($A96&lt;파라미터!$B$6,MOD($A96,파라미터!$B$6)&gt;=10),0,INT((10-MOD($A96,파라미터!$B$6)-1)/파라미터!$B$6)+1)</f>
        <v/>
      </c>
      <c r="O96" s="15">
        <f>((N96*파라미터!$B$5-파라미터!$B$5*(IF(N96&gt;=1,파라미터!$B$10,0)+IF(N96&gt;=2,파라미터!$B$11,0)+IF(N96&gt;=3,파라미터!$B$12,0)))+MAX(0,파라미터!$B$5*(IF(N96&gt;=1,파라미터!$B$10,0)+IF(N96&gt;=2,파라미터!$B$11,0)+IF(N96&gt;=3,파라미터!$B$12,0))-파라미터!$B$15))*파라미터!$B$16-N96*파라미터!$B$7-MAX(0,파라미터!$B$19+파라미터!$B$20-MIN(파라미터!$B$15,파라미터!$B$5*(IF(N96&gt;=1,파라미터!$B$10,0)+IF(N96&gt;=2,파라미터!$B$11,0)+IF(N96&gt;=3,파라미터!$B$12,0))))-IF(MOD($A96-1,파라미터!$B$22)=0,파라미터!$B$21,0)</f>
        <v/>
      </c>
      <c r="P96" s="15">
        <f>MAX(0,P95+O96)</f>
        <v/>
      </c>
      <c r="Q96" s="14">
        <f>IF(OR($A96&lt;파라미터!$B$6,MOD($A96,파라미터!$B$6)&gt;=20),0,INT((20-MOD($A96,파라미터!$B$6)-1)/파라미터!$B$6)+1)</f>
        <v/>
      </c>
      <c r="R96" s="15">
        <f>((Q96*파라미터!$B$5-파라미터!$B$5*(IF(Q96&gt;=1,파라미터!$B$10,0)+IF(Q96&gt;=2,파라미터!$B$11,0)+IF(Q96&gt;=3,파라미터!$B$12,0)))+MAX(0,파라미터!$B$5*(IF(Q96&gt;=1,파라미터!$B$10,0)+IF(Q96&gt;=2,파라미터!$B$11,0)+IF(Q96&gt;=3,파라미터!$B$12,0))-파라미터!$B$15))*파라미터!$B$16-Q96*파라미터!$B$7-MAX(0,파라미터!$B$19+파라미터!$B$20-MIN(파라미터!$B$15,파라미터!$B$5*(IF(Q96&gt;=1,파라미터!$B$10,0)+IF(Q96&gt;=2,파라미터!$B$11,0)+IF(Q96&gt;=3,파라미터!$B$12,0))))-IF(MOD($A96-1,파라미터!$B$22)=0,파라미터!$B$21,0)</f>
        <v/>
      </c>
      <c r="S96" s="15">
        <f>MAX(0,S95+R96)</f>
        <v/>
      </c>
    </row>
    <row r="97">
      <c r="A97" s="13" t="n">
        <v>93</v>
      </c>
      <c r="B97" s="14">
        <f>IF(OR($A97&lt;파라미터!$B$6,MOD($A97,파라미터!$B$6)&gt;=1),0,INT((1-MOD($A97,파라미터!$B$6)-1)/파라미터!$B$6)+1)</f>
        <v/>
      </c>
      <c r="C97" s="15">
        <f>((B97*파라미터!$B$5-파라미터!$B$5*(IF(B97&gt;=1,파라미터!$B$10,0)+IF(B97&gt;=2,파라미터!$B$11,0)+IF(B97&gt;=3,파라미터!$B$12,0)))+MAX(0,파라미터!$B$5*(IF(B97&gt;=1,파라미터!$B$10,0)+IF(B97&gt;=2,파라미터!$B$11,0)+IF(B97&gt;=3,파라미터!$B$12,0))-파라미터!$B$15))*파라미터!$B$16-B97*파라미터!$B$7-MAX(0,파라미터!$B$19+파라미터!$B$20-MIN(파라미터!$B$15,파라미터!$B$5*(IF(B97&gt;=1,파라미터!$B$10,0)+IF(B97&gt;=2,파라미터!$B$11,0)+IF(B97&gt;=3,파라미터!$B$12,0))))-IF(MOD($A97-1,파라미터!$B$22)=0,파라미터!$B$21,0)</f>
        <v/>
      </c>
      <c r="D97" s="15">
        <f>MAX(0,D96+C97)</f>
        <v/>
      </c>
      <c r="E97" s="14">
        <f>IF(OR($A97&lt;파라미터!$B$6,MOD($A97,파라미터!$B$6)&gt;=2),0,INT((2-MOD($A97,파라미터!$B$6)-1)/파라미터!$B$6)+1)</f>
        <v/>
      </c>
      <c r="F97" s="15">
        <f>((E97*파라미터!$B$5-파라미터!$B$5*(IF(E97&gt;=1,파라미터!$B$10,0)+IF(E97&gt;=2,파라미터!$B$11,0)+IF(E97&gt;=3,파라미터!$B$12,0)))+MAX(0,파라미터!$B$5*(IF(E97&gt;=1,파라미터!$B$10,0)+IF(E97&gt;=2,파라미터!$B$11,0)+IF(E97&gt;=3,파라미터!$B$12,0))-파라미터!$B$15))*파라미터!$B$16-E97*파라미터!$B$7-MAX(0,파라미터!$B$19+파라미터!$B$20-MIN(파라미터!$B$15,파라미터!$B$5*(IF(E97&gt;=1,파라미터!$B$10,0)+IF(E97&gt;=2,파라미터!$B$11,0)+IF(E97&gt;=3,파라미터!$B$12,0))))-IF(MOD($A97-1,파라미터!$B$22)=0,파라미터!$B$21,0)</f>
        <v/>
      </c>
      <c r="G97" s="15">
        <f>MAX(0,G96+F97)</f>
        <v/>
      </c>
      <c r="H97" s="14">
        <f>IF(OR($A97&lt;파라미터!$B$6,MOD($A97,파라미터!$B$6)&gt;=3),0,INT((3-MOD($A97,파라미터!$B$6)-1)/파라미터!$B$6)+1)</f>
        <v/>
      </c>
      <c r="I97" s="15">
        <f>((H97*파라미터!$B$5-파라미터!$B$5*(IF(H97&gt;=1,파라미터!$B$10,0)+IF(H97&gt;=2,파라미터!$B$11,0)+IF(H97&gt;=3,파라미터!$B$12,0)))+MAX(0,파라미터!$B$5*(IF(H97&gt;=1,파라미터!$B$10,0)+IF(H97&gt;=2,파라미터!$B$11,0)+IF(H97&gt;=3,파라미터!$B$12,0))-파라미터!$B$15))*파라미터!$B$16-H97*파라미터!$B$7-MAX(0,파라미터!$B$19+파라미터!$B$20-MIN(파라미터!$B$15,파라미터!$B$5*(IF(H97&gt;=1,파라미터!$B$10,0)+IF(H97&gt;=2,파라미터!$B$11,0)+IF(H97&gt;=3,파라미터!$B$12,0))))-IF(MOD($A97-1,파라미터!$B$22)=0,파라미터!$B$21,0)</f>
        <v/>
      </c>
      <c r="J97" s="15">
        <f>MAX(0,J96+I97)</f>
        <v/>
      </c>
      <c r="K97" s="14">
        <f>IF(OR($A97&lt;파라미터!$B$6,MOD($A97,파라미터!$B$6)&gt;=5),0,INT((5-MOD($A97,파라미터!$B$6)-1)/파라미터!$B$6)+1)</f>
        <v/>
      </c>
      <c r="L97" s="15">
        <f>((K97*파라미터!$B$5-파라미터!$B$5*(IF(K97&gt;=1,파라미터!$B$10,0)+IF(K97&gt;=2,파라미터!$B$11,0)+IF(K97&gt;=3,파라미터!$B$12,0)))+MAX(0,파라미터!$B$5*(IF(K97&gt;=1,파라미터!$B$10,0)+IF(K97&gt;=2,파라미터!$B$11,0)+IF(K97&gt;=3,파라미터!$B$12,0))-파라미터!$B$15))*파라미터!$B$16-K97*파라미터!$B$7-MAX(0,파라미터!$B$19+파라미터!$B$20-MIN(파라미터!$B$15,파라미터!$B$5*(IF(K97&gt;=1,파라미터!$B$10,0)+IF(K97&gt;=2,파라미터!$B$11,0)+IF(K97&gt;=3,파라미터!$B$12,0))))-IF(MOD($A97-1,파라미터!$B$22)=0,파라미터!$B$21,0)</f>
        <v/>
      </c>
      <c r="M97" s="15">
        <f>MAX(0,M96+L97)</f>
        <v/>
      </c>
      <c r="N97" s="14">
        <f>IF(OR($A97&lt;파라미터!$B$6,MOD($A97,파라미터!$B$6)&gt;=10),0,INT((10-MOD($A97,파라미터!$B$6)-1)/파라미터!$B$6)+1)</f>
        <v/>
      </c>
      <c r="O97" s="15">
        <f>((N97*파라미터!$B$5-파라미터!$B$5*(IF(N97&gt;=1,파라미터!$B$10,0)+IF(N97&gt;=2,파라미터!$B$11,0)+IF(N97&gt;=3,파라미터!$B$12,0)))+MAX(0,파라미터!$B$5*(IF(N97&gt;=1,파라미터!$B$10,0)+IF(N97&gt;=2,파라미터!$B$11,0)+IF(N97&gt;=3,파라미터!$B$12,0))-파라미터!$B$15))*파라미터!$B$16-N97*파라미터!$B$7-MAX(0,파라미터!$B$19+파라미터!$B$20-MIN(파라미터!$B$15,파라미터!$B$5*(IF(N97&gt;=1,파라미터!$B$10,0)+IF(N97&gt;=2,파라미터!$B$11,0)+IF(N97&gt;=3,파라미터!$B$12,0))))-IF(MOD($A97-1,파라미터!$B$22)=0,파라미터!$B$21,0)</f>
        <v/>
      </c>
      <c r="P97" s="15">
        <f>MAX(0,P96+O97)</f>
        <v/>
      </c>
      <c r="Q97" s="14">
        <f>IF(OR($A97&lt;파라미터!$B$6,MOD($A97,파라미터!$B$6)&gt;=20),0,INT((20-MOD($A97,파라미터!$B$6)-1)/파라미터!$B$6)+1)</f>
        <v/>
      </c>
      <c r="R97" s="15">
        <f>((Q97*파라미터!$B$5-파라미터!$B$5*(IF(Q97&gt;=1,파라미터!$B$10,0)+IF(Q97&gt;=2,파라미터!$B$11,0)+IF(Q97&gt;=3,파라미터!$B$12,0)))+MAX(0,파라미터!$B$5*(IF(Q97&gt;=1,파라미터!$B$10,0)+IF(Q97&gt;=2,파라미터!$B$11,0)+IF(Q97&gt;=3,파라미터!$B$12,0))-파라미터!$B$15))*파라미터!$B$16-Q97*파라미터!$B$7-MAX(0,파라미터!$B$19+파라미터!$B$20-MIN(파라미터!$B$15,파라미터!$B$5*(IF(Q97&gt;=1,파라미터!$B$10,0)+IF(Q97&gt;=2,파라미터!$B$11,0)+IF(Q97&gt;=3,파라미터!$B$12,0))))-IF(MOD($A97-1,파라미터!$B$22)=0,파라미터!$B$21,0)</f>
        <v/>
      </c>
      <c r="S97" s="15">
        <f>MAX(0,S96+R97)</f>
        <v/>
      </c>
    </row>
    <row r="98">
      <c r="A98" s="13" t="n">
        <v>94</v>
      </c>
      <c r="B98" s="14">
        <f>IF(OR($A98&lt;파라미터!$B$6,MOD($A98,파라미터!$B$6)&gt;=1),0,INT((1-MOD($A98,파라미터!$B$6)-1)/파라미터!$B$6)+1)</f>
        <v/>
      </c>
      <c r="C98" s="15">
        <f>((B98*파라미터!$B$5-파라미터!$B$5*(IF(B98&gt;=1,파라미터!$B$10,0)+IF(B98&gt;=2,파라미터!$B$11,0)+IF(B98&gt;=3,파라미터!$B$12,0)))+MAX(0,파라미터!$B$5*(IF(B98&gt;=1,파라미터!$B$10,0)+IF(B98&gt;=2,파라미터!$B$11,0)+IF(B98&gt;=3,파라미터!$B$12,0))-파라미터!$B$15))*파라미터!$B$16-B98*파라미터!$B$7-MAX(0,파라미터!$B$19+파라미터!$B$20-MIN(파라미터!$B$15,파라미터!$B$5*(IF(B98&gt;=1,파라미터!$B$10,0)+IF(B98&gt;=2,파라미터!$B$11,0)+IF(B98&gt;=3,파라미터!$B$12,0))))-IF(MOD($A98-1,파라미터!$B$22)=0,파라미터!$B$21,0)</f>
        <v/>
      </c>
      <c r="D98" s="15">
        <f>MAX(0,D97+C98)</f>
        <v/>
      </c>
      <c r="E98" s="14">
        <f>IF(OR($A98&lt;파라미터!$B$6,MOD($A98,파라미터!$B$6)&gt;=2),0,INT((2-MOD($A98,파라미터!$B$6)-1)/파라미터!$B$6)+1)</f>
        <v/>
      </c>
      <c r="F98" s="15">
        <f>((E98*파라미터!$B$5-파라미터!$B$5*(IF(E98&gt;=1,파라미터!$B$10,0)+IF(E98&gt;=2,파라미터!$B$11,0)+IF(E98&gt;=3,파라미터!$B$12,0)))+MAX(0,파라미터!$B$5*(IF(E98&gt;=1,파라미터!$B$10,0)+IF(E98&gt;=2,파라미터!$B$11,0)+IF(E98&gt;=3,파라미터!$B$12,0))-파라미터!$B$15))*파라미터!$B$16-E98*파라미터!$B$7-MAX(0,파라미터!$B$19+파라미터!$B$20-MIN(파라미터!$B$15,파라미터!$B$5*(IF(E98&gt;=1,파라미터!$B$10,0)+IF(E98&gt;=2,파라미터!$B$11,0)+IF(E98&gt;=3,파라미터!$B$12,0))))-IF(MOD($A98-1,파라미터!$B$22)=0,파라미터!$B$21,0)</f>
        <v/>
      </c>
      <c r="G98" s="15">
        <f>MAX(0,G97+F98)</f>
        <v/>
      </c>
      <c r="H98" s="14">
        <f>IF(OR($A98&lt;파라미터!$B$6,MOD($A98,파라미터!$B$6)&gt;=3),0,INT((3-MOD($A98,파라미터!$B$6)-1)/파라미터!$B$6)+1)</f>
        <v/>
      </c>
      <c r="I98" s="15">
        <f>((H98*파라미터!$B$5-파라미터!$B$5*(IF(H98&gt;=1,파라미터!$B$10,0)+IF(H98&gt;=2,파라미터!$B$11,0)+IF(H98&gt;=3,파라미터!$B$12,0)))+MAX(0,파라미터!$B$5*(IF(H98&gt;=1,파라미터!$B$10,0)+IF(H98&gt;=2,파라미터!$B$11,0)+IF(H98&gt;=3,파라미터!$B$12,0))-파라미터!$B$15))*파라미터!$B$16-H98*파라미터!$B$7-MAX(0,파라미터!$B$19+파라미터!$B$20-MIN(파라미터!$B$15,파라미터!$B$5*(IF(H98&gt;=1,파라미터!$B$10,0)+IF(H98&gt;=2,파라미터!$B$11,0)+IF(H98&gt;=3,파라미터!$B$12,0))))-IF(MOD($A98-1,파라미터!$B$22)=0,파라미터!$B$21,0)</f>
        <v/>
      </c>
      <c r="J98" s="15">
        <f>MAX(0,J97+I98)</f>
        <v/>
      </c>
      <c r="K98" s="14">
        <f>IF(OR($A98&lt;파라미터!$B$6,MOD($A98,파라미터!$B$6)&gt;=5),0,INT((5-MOD($A98,파라미터!$B$6)-1)/파라미터!$B$6)+1)</f>
        <v/>
      </c>
      <c r="L98" s="15">
        <f>((K98*파라미터!$B$5-파라미터!$B$5*(IF(K98&gt;=1,파라미터!$B$10,0)+IF(K98&gt;=2,파라미터!$B$11,0)+IF(K98&gt;=3,파라미터!$B$12,0)))+MAX(0,파라미터!$B$5*(IF(K98&gt;=1,파라미터!$B$10,0)+IF(K98&gt;=2,파라미터!$B$11,0)+IF(K98&gt;=3,파라미터!$B$12,0))-파라미터!$B$15))*파라미터!$B$16-K98*파라미터!$B$7-MAX(0,파라미터!$B$19+파라미터!$B$20-MIN(파라미터!$B$15,파라미터!$B$5*(IF(K98&gt;=1,파라미터!$B$10,0)+IF(K98&gt;=2,파라미터!$B$11,0)+IF(K98&gt;=3,파라미터!$B$12,0))))-IF(MOD($A98-1,파라미터!$B$22)=0,파라미터!$B$21,0)</f>
        <v/>
      </c>
      <c r="M98" s="15">
        <f>MAX(0,M97+L98)</f>
        <v/>
      </c>
      <c r="N98" s="14">
        <f>IF(OR($A98&lt;파라미터!$B$6,MOD($A98,파라미터!$B$6)&gt;=10),0,INT((10-MOD($A98,파라미터!$B$6)-1)/파라미터!$B$6)+1)</f>
        <v/>
      </c>
      <c r="O98" s="15">
        <f>((N98*파라미터!$B$5-파라미터!$B$5*(IF(N98&gt;=1,파라미터!$B$10,0)+IF(N98&gt;=2,파라미터!$B$11,0)+IF(N98&gt;=3,파라미터!$B$12,0)))+MAX(0,파라미터!$B$5*(IF(N98&gt;=1,파라미터!$B$10,0)+IF(N98&gt;=2,파라미터!$B$11,0)+IF(N98&gt;=3,파라미터!$B$12,0))-파라미터!$B$15))*파라미터!$B$16-N98*파라미터!$B$7-MAX(0,파라미터!$B$19+파라미터!$B$20-MIN(파라미터!$B$15,파라미터!$B$5*(IF(N98&gt;=1,파라미터!$B$10,0)+IF(N98&gt;=2,파라미터!$B$11,0)+IF(N98&gt;=3,파라미터!$B$12,0))))-IF(MOD($A98-1,파라미터!$B$22)=0,파라미터!$B$21,0)</f>
        <v/>
      </c>
      <c r="P98" s="15">
        <f>MAX(0,P97+O98)</f>
        <v/>
      </c>
      <c r="Q98" s="14">
        <f>IF(OR($A98&lt;파라미터!$B$6,MOD($A98,파라미터!$B$6)&gt;=20),0,INT((20-MOD($A98,파라미터!$B$6)-1)/파라미터!$B$6)+1)</f>
        <v/>
      </c>
      <c r="R98" s="15">
        <f>((Q98*파라미터!$B$5-파라미터!$B$5*(IF(Q98&gt;=1,파라미터!$B$10,0)+IF(Q98&gt;=2,파라미터!$B$11,0)+IF(Q98&gt;=3,파라미터!$B$12,0)))+MAX(0,파라미터!$B$5*(IF(Q98&gt;=1,파라미터!$B$10,0)+IF(Q98&gt;=2,파라미터!$B$11,0)+IF(Q98&gt;=3,파라미터!$B$12,0))-파라미터!$B$15))*파라미터!$B$16-Q98*파라미터!$B$7-MAX(0,파라미터!$B$19+파라미터!$B$20-MIN(파라미터!$B$15,파라미터!$B$5*(IF(Q98&gt;=1,파라미터!$B$10,0)+IF(Q98&gt;=2,파라미터!$B$11,0)+IF(Q98&gt;=3,파라미터!$B$12,0))))-IF(MOD($A98-1,파라미터!$B$22)=0,파라미터!$B$21,0)</f>
        <v/>
      </c>
      <c r="S98" s="15">
        <f>MAX(0,S97+R98)</f>
        <v/>
      </c>
    </row>
    <row r="99">
      <c r="A99" s="13" t="n">
        <v>95</v>
      </c>
      <c r="B99" s="14">
        <f>IF(OR($A99&lt;파라미터!$B$6,MOD($A99,파라미터!$B$6)&gt;=1),0,INT((1-MOD($A99,파라미터!$B$6)-1)/파라미터!$B$6)+1)</f>
        <v/>
      </c>
      <c r="C99" s="15">
        <f>((B99*파라미터!$B$5-파라미터!$B$5*(IF(B99&gt;=1,파라미터!$B$10,0)+IF(B99&gt;=2,파라미터!$B$11,0)+IF(B99&gt;=3,파라미터!$B$12,0)))+MAX(0,파라미터!$B$5*(IF(B99&gt;=1,파라미터!$B$10,0)+IF(B99&gt;=2,파라미터!$B$11,0)+IF(B99&gt;=3,파라미터!$B$12,0))-파라미터!$B$15))*파라미터!$B$16-B99*파라미터!$B$7-MAX(0,파라미터!$B$19+파라미터!$B$20-MIN(파라미터!$B$15,파라미터!$B$5*(IF(B99&gt;=1,파라미터!$B$10,0)+IF(B99&gt;=2,파라미터!$B$11,0)+IF(B99&gt;=3,파라미터!$B$12,0))))-IF(MOD($A99-1,파라미터!$B$22)=0,파라미터!$B$21,0)</f>
        <v/>
      </c>
      <c r="D99" s="15">
        <f>MAX(0,D98+C99)</f>
        <v/>
      </c>
      <c r="E99" s="14">
        <f>IF(OR($A99&lt;파라미터!$B$6,MOD($A99,파라미터!$B$6)&gt;=2),0,INT((2-MOD($A99,파라미터!$B$6)-1)/파라미터!$B$6)+1)</f>
        <v/>
      </c>
      <c r="F99" s="15">
        <f>((E99*파라미터!$B$5-파라미터!$B$5*(IF(E99&gt;=1,파라미터!$B$10,0)+IF(E99&gt;=2,파라미터!$B$11,0)+IF(E99&gt;=3,파라미터!$B$12,0)))+MAX(0,파라미터!$B$5*(IF(E99&gt;=1,파라미터!$B$10,0)+IF(E99&gt;=2,파라미터!$B$11,0)+IF(E99&gt;=3,파라미터!$B$12,0))-파라미터!$B$15))*파라미터!$B$16-E99*파라미터!$B$7-MAX(0,파라미터!$B$19+파라미터!$B$20-MIN(파라미터!$B$15,파라미터!$B$5*(IF(E99&gt;=1,파라미터!$B$10,0)+IF(E99&gt;=2,파라미터!$B$11,0)+IF(E99&gt;=3,파라미터!$B$12,0))))-IF(MOD($A99-1,파라미터!$B$22)=0,파라미터!$B$21,0)</f>
        <v/>
      </c>
      <c r="G99" s="15">
        <f>MAX(0,G98+F99)</f>
        <v/>
      </c>
      <c r="H99" s="14">
        <f>IF(OR($A99&lt;파라미터!$B$6,MOD($A99,파라미터!$B$6)&gt;=3),0,INT((3-MOD($A99,파라미터!$B$6)-1)/파라미터!$B$6)+1)</f>
        <v/>
      </c>
      <c r="I99" s="15">
        <f>((H99*파라미터!$B$5-파라미터!$B$5*(IF(H99&gt;=1,파라미터!$B$10,0)+IF(H99&gt;=2,파라미터!$B$11,0)+IF(H99&gt;=3,파라미터!$B$12,0)))+MAX(0,파라미터!$B$5*(IF(H99&gt;=1,파라미터!$B$10,0)+IF(H99&gt;=2,파라미터!$B$11,0)+IF(H99&gt;=3,파라미터!$B$12,0))-파라미터!$B$15))*파라미터!$B$16-H99*파라미터!$B$7-MAX(0,파라미터!$B$19+파라미터!$B$20-MIN(파라미터!$B$15,파라미터!$B$5*(IF(H99&gt;=1,파라미터!$B$10,0)+IF(H99&gt;=2,파라미터!$B$11,0)+IF(H99&gt;=3,파라미터!$B$12,0))))-IF(MOD($A99-1,파라미터!$B$22)=0,파라미터!$B$21,0)</f>
        <v/>
      </c>
      <c r="J99" s="15">
        <f>MAX(0,J98+I99)</f>
        <v/>
      </c>
      <c r="K99" s="14">
        <f>IF(OR($A99&lt;파라미터!$B$6,MOD($A99,파라미터!$B$6)&gt;=5),0,INT((5-MOD($A99,파라미터!$B$6)-1)/파라미터!$B$6)+1)</f>
        <v/>
      </c>
      <c r="L99" s="15">
        <f>((K99*파라미터!$B$5-파라미터!$B$5*(IF(K99&gt;=1,파라미터!$B$10,0)+IF(K99&gt;=2,파라미터!$B$11,0)+IF(K99&gt;=3,파라미터!$B$12,0)))+MAX(0,파라미터!$B$5*(IF(K99&gt;=1,파라미터!$B$10,0)+IF(K99&gt;=2,파라미터!$B$11,0)+IF(K99&gt;=3,파라미터!$B$12,0))-파라미터!$B$15))*파라미터!$B$16-K99*파라미터!$B$7-MAX(0,파라미터!$B$19+파라미터!$B$20-MIN(파라미터!$B$15,파라미터!$B$5*(IF(K99&gt;=1,파라미터!$B$10,0)+IF(K99&gt;=2,파라미터!$B$11,0)+IF(K99&gt;=3,파라미터!$B$12,0))))-IF(MOD($A99-1,파라미터!$B$22)=0,파라미터!$B$21,0)</f>
        <v/>
      </c>
      <c r="M99" s="15">
        <f>MAX(0,M98+L99)</f>
        <v/>
      </c>
      <c r="N99" s="14">
        <f>IF(OR($A99&lt;파라미터!$B$6,MOD($A99,파라미터!$B$6)&gt;=10),0,INT((10-MOD($A99,파라미터!$B$6)-1)/파라미터!$B$6)+1)</f>
        <v/>
      </c>
      <c r="O99" s="15">
        <f>((N99*파라미터!$B$5-파라미터!$B$5*(IF(N99&gt;=1,파라미터!$B$10,0)+IF(N99&gt;=2,파라미터!$B$11,0)+IF(N99&gt;=3,파라미터!$B$12,0)))+MAX(0,파라미터!$B$5*(IF(N99&gt;=1,파라미터!$B$10,0)+IF(N99&gt;=2,파라미터!$B$11,0)+IF(N99&gt;=3,파라미터!$B$12,0))-파라미터!$B$15))*파라미터!$B$16-N99*파라미터!$B$7-MAX(0,파라미터!$B$19+파라미터!$B$20-MIN(파라미터!$B$15,파라미터!$B$5*(IF(N99&gt;=1,파라미터!$B$10,0)+IF(N99&gt;=2,파라미터!$B$11,0)+IF(N99&gt;=3,파라미터!$B$12,0))))-IF(MOD($A99-1,파라미터!$B$22)=0,파라미터!$B$21,0)</f>
        <v/>
      </c>
      <c r="P99" s="15">
        <f>MAX(0,P98+O99)</f>
        <v/>
      </c>
      <c r="Q99" s="14">
        <f>IF(OR($A99&lt;파라미터!$B$6,MOD($A99,파라미터!$B$6)&gt;=20),0,INT((20-MOD($A99,파라미터!$B$6)-1)/파라미터!$B$6)+1)</f>
        <v/>
      </c>
      <c r="R99" s="15">
        <f>((Q99*파라미터!$B$5-파라미터!$B$5*(IF(Q99&gt;=1,파라미터!$B$10,0)+IF(Q99&gt;=2,파라미터!$B$11,0)+IF(Q99&gt;=3,파라미터!$B$12,0)))+MAX(0,파라미터!$B$5*(IF(Q99&gt;=1,파라미터!$B$10,0)+IF(Q99&gt;=2,파라미터!$B$11,0)+IF(Q99&gt;=3,파라미터!$B$12,0))-파라미터!$B$15))*파라미터!$B$16-Q99*파라미터!$B$7-MAX(0,파라미터!$B$19+파라미터!$B$20-MIN(파라미터!$B$15,파라미터!$B$5*(IF(Q99&gt;=1,파라미터!$B$10,0)+IF(Q99&gt;=2,파라미터!$B$11,0)+IF(Q99&gt;=3,파라미터!$B$12,0))))-IF(MOD($A99-1,파라미터!$B$22)=0,파라미터!$B$21,0)</f>
        <v/>
      </c>
      <c r="S99" s="15">
        <f>MAX(0,S98+R99)</f>
        <v/>
      </c>
    </row>
    <row r="100">
      <c r="A100" s="13" t="n">
        <v>96</v>
      </c>
      <c r="B100" s="14">
        <f>IF(OR($A100&lt;파라미터!$B$6,MOD($A100,파라미터!$B$6)&gt;=1),0,INT((1-MOD($A100,파라미터!$B$6)-1)/파라미터!$B$6)+1)</f>
        <v/>
      </c>
      <c r="C100" s="15">
        <f>((B100*파라미터!$B$5-파라미터!$B$5*(IF(B100&gt;=1,파라미터!$B$10,0)+IF(B100&gt;=2,파라미터!$B$11,0)+IF(B100&gt;=3,파라미터!$B$12,0)))+MAX(0,파라미터!$B$5*(IF(B100&gt;=1,파라미터!$B$10,0)+IF(B100&gt;=2,파라미터!$B$11,0)+IF(B100&gt;=3,파라미터!$B$12,0))-파라미터!$B$15))*파라미터!$B$16-B100*파라미터!$B$7-MAX(0,파라미터!$B$19+파라미터!$B$20-MIN(파라미터!$B$15,파라미터!$B$5*(IF(B100&gt;=1,파라미터!$B$10,0)+IF(B100&gt;=2,파라미터!$B$11,0)+IF(B100&gt;=3,파라미터!$B$12,0))))-IF(MOD($A100-1,파라미터!$B$22)=0,파라미터!$B$21,0)</f>
        <v/>
      </c>
      <c r="D100" s="15">
        <f>MAX(0,D99+C100)</f>
        <v/>
      </c>
      <c r="E100" s="14">
        <f>IF(OR($A100&lt;파라미터!$B$6,MOD($A100,파라미터!$B$6)&gt;=2),0,INT((2-MOD($A100,파라미터!$B$6)-1)/파라미터!$B$6)+1)</f>
        <v/>
      </c>
      <c r="F100" s="15">
        <f>((E100*파라미터!$B$5-파라미터!$B$5*(IF(E100&gt;=1,파라미터!$B$10,0)+IF(E100&gt;=2,파라미터!$B$11,0)+IF(E100&gt;=3,파라미터!$B$12,0)))+MAX(0,파라미터!$B$5*(IF(E100&gt;=1,파라미터!$B$10,0)+IF(E100&gt;=2,파라미터!$B$11,0)+IF(E100&gt;=3,파라미터!$B$12,0))-파라미터!$B$15))*파라미터!$B$16-E100*파라미터!$B$7-MAX(0,파라미터!$B$19+파라미터!$B$20-MIN(파라미터!$B$15,파라미터!$B$5*(IF(E100&gt;=1,파라미터!$B$10,0)+IF(E100&gt;=2,파라미터!$B$11,0)+IF(E100&gt;=3,파라미터!$B$12,0))))-IF(MOD($A100-1,파라미터!$B$22)=0,파라미터!$B$21,0)</f>
        <v/>
      </c>
      <c r="G100" s="15">
        <f>MAX(0,G99+F100)</f>
        <v/>
      </c>
      <c r="H100" s="14">
        <f>IF(OR($A100&lt;파라미터!$B$6,MOD($A100,파라미터!$B$6)&gt;=3),0,INT((3-MOD($A100,파라미터!$B$6)-1)/파라미터!$B$6)+1)</f>
        <v/>
      </c>
      <c r="I100" s="15">
        <f>((H100*파라미터!$B$5-파라미터!$B$5*(IF(H100&gt;=1,파라미터!$B$10,0)+IF(H100&gt;=2,파라미터!$B$11,0)+IF(H100&gt;=3,파라미터!$B$12,0)))+MAX(0,파라미터!$B$5*(IF(H100&gt;=1,파라미터!$B$10,0)+IF(H100&gt;=2,파라미터!$B$11,0)+IF(H100&gt;=3,파라미터!$B$12,0))-파라미터!$B$15))*파라미터!$B$16-H100*파라미터!$B$7-MAX(0,파라미터!$B$19+파라미터!$B$20-MIN(파라미터!$B$15,파라미터!$B$5*(IF(H100&gt;=1,파라미터!$B$10,0)+IF(H100&gt;=2,파라미터!$B$11,0)+IF(H100&gt;=3,파라미터!$B$12,0))))-IF(MOD($A100-1,파라미터!$B$22)=0,파라미터!$B$21,0)</f>
        <v/>
      </c>
      <c r="J100" s="15">
        <f>MAX(0,J99+I100)</f>
        <v/>
      </c>
      <c r="K100" s="14">
        <f>IF(OR($A100&lt;파라미터!$B$6,MOD($A100,파라미터!$B$6)&gt;=5),0,INT((5-MOD($A100,파라미터!$B$6)-1)/파라미터!$B$6)+1)</f>
        <v/>
      </c>
      <c r="L100" s="15">
        <f>((K100*파라미터!$B$5-파라미터!$B$5*(IF(K100&gt;=1,파라미터!$B$10,0)+IF(K100&gt;=2,파라미터!$B$11,0)+IF(K100&gt;=3,파라미터!$B$12,0)))+MAX(0,파라미터!$B$5*(IF(K100&gt;=1,파라미터!$B$10,0)+IF(K100&gt;=2,파라미터!$B$11,0)+IF(K100&gt;=3,파라미터!$B$12,0))-파라미터!$B$15))*파라미터!$B$16-K100*파라미터!$B$7-MAX(0,파라미터!$B$19+파라미터!$B$20-MIN(파라미터!$B$15,파라미터!$B$5*(IF(K100&gt;=1,파라미터!$B$10,0)+IF(K100&gt;=2,파라미터!$B$11,0)+IF(K100&gt;=3,파라미터!$B$12,0))))-IF(MOD($A100-1,파라미터!$B$22)=0,파라미터!$B$21,0)</f>
        <v/>
      </c>
      <c r="M100" s="15">
        <f>MAX(0,M99+L100)</f>
        <v/>
      </c>
      <c r="N100" s="14">
        <f>IF(OR($A100&lt;파라미터!$B$6,MOD($A100,파라미터!$B$6)&gt;=10),0,INT((10-MOD($A100,파라미터!$B$6)-1)/파라미터!$B$6)+1)</f>
        <v/>
      </c>
      <c r="O100" s="15">
        <f>((N100*파라미터!$B$5-파라미터!$B$5*(IF(N100&gt;=1,파라미터!$B$10,0)+IF(N100&gt;=2,파라미터!$B$11,0)+IF(N100&gt;=3,파라미터!$B$12,0)))+MAX(0,파라미터!$B$5*(IF(N100&gt;=1,파라미터!$B$10,0)+IF(N100&gt;=2,파라미터!$B$11,0)+IF(N100&gt;=3,파라미터!$B$12,0))-파라미터!$B$15))*파라미터!$B$16-N100*파라미터!$B$7-MAX(0,파라미터!$B$19+파라미터!$B$20-MIN(파라미터!$B$15,파라미터!$B$5*(IF(N100&gt;=1,파라미터!$B$10,0)+IF(N100&gt;=2,파라미터!$B$11,0)+IF(N100&gt;=3,파라미터!$B$12,0))))-IF(MOD($A100-1,파라미터!$B$22)=0,파라미터!$B$21,0)</f>
        <v/>
      </c>
      <c r="P100" s="15">
        <f>MAX(0,P99+O100)</f>
        <v/>
      </c>
      <c r="Q100" s="14">
        <f>IF(OR($A100&lt;파라미터!$B$6,MOD($A100,파라미터!$B$6)&gt;=20),0,INT((20-MOD($A100,파라미터!$B$6)-1)/파라미터!$B$6)+1)</f>
        <v/>
      </c>
      <c r="R100" s="15">
        <f>((Q100*파라미터!$B$5-파라미터!$B$5*(IF(Q100&gt;=1,파라미터!$B$10,0)+IF(Q100&gt;=2,파라미터!$B$11,0)+IF(Q100&gt;=3,파라미터!$B$12,0)))+MAX(0,파라미터!$B$5*(IF(Q100&gt;=1,파라미터!$B$10,0)+IF(Q100&gt;=2,파라미터!$B$11,0)+IF(Q100&gt;=3,파라미터!$B$12,0))-파라미터!$B$15))*파라미터!$B$16-Q100*파라미터!$B$7-MAX(0,파라미터!$B$19+파라미터!$B$20-MIN(파라미터!$B$15,파라미터!$B$5*(IF(Q100&gt;=1,파라미터!$B$10,0)+IF(Q100&gt;=2,파라미터!$B$11,0)+IF(Q100&gt;=3,파라미터!$B$12,0))))-IF(MOD($A100-1,파라미터!$B$22)=0,파라미터!$B$21,0)</f>
        <v/>
      </c>
      <c r="S100" s="15">
        <f>MAX(0,S99+R100)</f>
        <v/>
      </c>
    </row>
    <row r="101">
      <c r="A101" s="13" t="n">
        <v>97</v>
      </c>
      <c r="B101" s="14">
        <f>IF(OR($A101&lt;파라미터!$B$6,MOD($A101,파라미터!$B$6)&gt;=1),0,INT((1-MOD($A101,파라미터!$B$6)-1)/파라미터!$B$6)+1)</f>
        <v/>
      </c>
      <c r="C101" s="15">
        <f>((B101*파라미터!$B$5-파라미터!$B$5*(IF(B101&gt;=1,파라미터!$B$10,0)+IF(B101&gt;=2,파라미터!$B$11,0)+IF(B101&gt;=3,파라미터!$B$12,0)))+MAX(0,파라미터!$B$5*(IF(B101&gt;=1,파라미터!$B$10,0)+IF(B101&gt;=2,파라미터!$B$11,0)+IF(B101&gt;=3,파라미터!$B$12,0))-파라미터!$B$15))*파라미터!$B$16-B101*파라미터!$B$7-MAX(0,파라미터!$B$19+파라미터!$B$20-MIN(파라미터!$B$15,파라미터!$B$5*(IF(B101&gt;=1,파라미터!$B$10,0)+IF(B101&gt;=2,파라미터!$B$11,0)+IF(B101&gt;=3,파라미터!$B$12,0))))-IF(MOD($A101-1,파라미터!$B$22)=0,파라미터!$B$21,0)</f>
        <v/>
      </c>
      <c r="D101" s="15">
        <f>MAX(0,D100+C101)</f>
        <v/>
      </c>
      <c r="E101" s="14">
        <f>IF(OR($A101&lt;파라미터!$B$6,MOD($A101,파라미터!$B$6)&gt;=2),0,INT((2-MOD($A101,파라미터!$B$6)-1)/파라미터!$B$6)+1)</f>
        <v/>
      </c>
      <c r="F101" s="15">
        <f>((E101*파라미터!$B$5-파라미터!$B$5*(IF(E101&gt;=1,파라미터!$B$10,0)+IF(E101&gt;=2,파라미터!$B$11,0)+IF(E101&gt;=3,파라미터!$B$12,0)))+MAX(0,파라미터!$B$5*(IF(E101&gt;=1,파라미터!$B$10,0)+IF(E101&gt;=2,파라미터!$B$11,0)+IF(E101&gt;=3,파라미터!$B$12,0))-파라미터!$B$15))*파라미터!$B$16-E101*파라미터!$B$7-MAX(0,파라미터!$B$19+파라미터!$B$20-MIN(파라미터!$B$15,파라미터!$B$5*(IF(E101&gt;=1,파라미터!$B$10,0)+IF(E101&gt;=2,파라미터!$B$11,0)+IF(E101&gt;=3,파라미터!$B$12,0))))-IF(MOD($A101-1,파라미터!$B$22)=0,파라미터!$B$21,0)</f>
        <v/>
      </c>
      <c r="G101" s="15">
        <f>MAX(0,G100+F101)</f>
        <v/>
      </c>
      <c r="H101" s="14">
        <f>IF(OR($A101&lt;파라미터!$B$6,MOD($A101,파라미터!$B$6)&gt;=3),0,INT((3-MOD($A101,파라미터!$B$6)-1)/파라미터!$B$6)+1)</f>
        <v/>
      </c>
      <c r="I101" s="15">
        <f>((H101*파라미터!$B$5-파라미터!$B$5*(IF(H101&gt;=1,파라미터!$B$10,0)+IF(H101&gt;=2,파라미터!$B$11,0)+IF(H101&gt;=3,파라미터!$B$12,0)))+MAX(0,파라미터!$B$5*(IF(H101&gt;=1,파라미터!$B$10,0)+IF(H101&gt;=2,파라미터!$B$11,0)+IF(H101&gt;=3,파라미터!$B$12,0))-파라미터!$B$15))*파라미터!$B$16-H101*파라미터!$B$7-MAX(0,파라미터!$B$19+파라미터!$B$20-MIN(파라미터!$B$15,파라미터!$B$5*(IF(H101&gt;=1,파라미터!$B$10,0)+IF(H101&gt;=2,파라미터!$B$11,0)+IF(H101&gt;=3,파라미터!$B$12,0))))-IF(MOD($A101-1,파라미터!$B$22)=0,파라미터!$B$21,0)</f>
        <v/>
      </c>
      <c r="J101" s="15">
        <f>MAX(0,J100+I101)</f>
        <v/>
      </c>
      <c r="K101" s="14">
        <f>IF(OR($A101&lt;파라미터!$B$6,MOD($A101,파라미터!$B$6)&gt;=5),0,INT((5-MOD($A101,파라미터!$B$6)-1)/파라미터!$B$6)+1)</f>
        <v/>
      </c>
      <c r="L101" s="15">
        <f>((K101*파라미터!$B$5-파라미터!$B$5*(IF(K101&gt;=1,파라미터!$B$10,0)+IF(K101&gt;=2,파라미터!$B$11,0)+IF(K101&gt;=3,파라미터!$B$12,0)))+MAX(0,파라미터!$B$5*(IF(K101&gt;=1,파라미터!$B$10,0)+IF(K101&gt;=2,파라미터!$B$11,0)+IF(K101&gt;=3,파라미터!$B$12,0))-파라미터!$B$15))*파라미터!$B$16-K101*파라미터!$B$7-MAX(0,파라미터!$B$19+파라미터!$B$20-MIN(파라미터!$B$15,파라미터!$B$5*(IF(K101&gt;=1,파라미터!$B$10,0)+IF(K101&gt;=2,파라미터!$B$11,0)+IF(K101&gt;=3,파라미터!$B$12,0))))-IF(MOD($A101-1,파라미터!$B$22)=0,파라미터!$B$21,0)</f>
        <v/>
      </c>
      <c r="M101" s="15">
        <f>MAX(0,M100+L101)</f>
        <v/>
      </c>
      <c r="N101" s="14">
        <f>IF(OR($A101&lt;파라미터!$B$6,MOD($A101,파라미터!$B$6)&gt;=10),0,INT((10-MOD($A101,파라미터!$B$6)-1)/파라미터!$B$6)+1)</f>
        <v/>
      </c>
      <c r="O101" s="15">
        <f>((N101*파라미터!$B$5-파라미터!$B$5*(IF(N101&gt;=1,파라미터!$B$10,0)+IF(N101&gt;=2,파라미터!$B$11,0)+IF(N101&gt;=3,파라미터!$B$12,0)))+MAX(0,파라미터!$B$5*(IF(N101&gt;=1,파라미터!$B$10,0)+IF(N101&gt;=2,파라미터!$B$11,0)+IF(N101&gt;=3,파라미터!$B$12,0))-파라미터!$B$15))*파라미터!$B$16-N101*파라미터!$B$7-MAX(0,파라미터!$B$19+파라미터!$B$20-MIN(파라미터!$B$15,파라미터!$B$5*(IF(N101&gt;=1,파라미터!$B$10,0)+IF(N101&gt;=2,파라미터!$B$11,0)+IF(N101&gt;=3,파라미터!$B$12,0))))-IF(MOD($A101-1,파라미터!$B$22)=0,파라미터!$B$21,0)</f>
        <v/>
      </c>
      <c r="P101" s="15">
        <f>MAX(0,P100+O101)</f>
        <v/>
      </c>
      <c r="Q101" s="14">
        <f>IF(OR($A101&lt;파라미터!$B$6,MOD($A101,파라미터!$B$6)&gt;=20),0,INT((20-MOD($A101,파라미터!$B$6)-1)/파라미터!$B$6)+1)</f>
        <v/>
      </c>
      <c r="R101" s="15">
        <f>((Q101*파라미터!$B$5-파라미터!$B$5*(IF(Q101&gt;=1,파라미터!$B$10,0)+IF(Q101&gt;=2,파라미터!$B$11,0)+IF(Q101&gt;=3,파라미터!$B$12,0)))+MAX(0,파라미터!$B$5*(IF(Q101&gt;=1,파라미터!$B$10,0)+IF(Q101&gt;=2,파라미터!$B$11,0)+IF(Q101&gt;=3,파라미터!$B$12,0))-파라미터!$B$15))*파라미터!$B$16-Q101*파라미터!$B$7-MAX(0,파라미터!$B$19+파라미터!$B$20-MIN(파라미터!$B$15,파라미터!$B$5*(IF(Q101&gt;=1,파라미터!$B$10,0)+IF(Q101&gt;=2,파라미터!$B$11,0)+IF(Q101&gt;=3,파라미터!$B$12,0))))-IF(MOD($A101-1,파라미터!$B$22)=0,파라미터!$B$21,0)</f>
        <v/>
      </c>
      <c r="S101" s="15">
        <f>MAX(0,S100+R101)</f>
        <v/>
      </c>
    </row>
    <row r="102">
      <c r="A102" s="13" t="n">
        <v>98</v>
      </c>
      <c r="B102" s="14">
        <f>IF(OR($A102&lt;파라미터!$B$6,MOD($A102,파라미터!$B$6)&gt;=1),0,INT((1-MOD($A102,파라미터!$B$6)-1)/파라미터!$B$6)+1)</f>
        <v/>
      </c>
      <c r="C102" s="15">
        <f>((B102*파라미터!$B$5-파라미터!$B$5*(IF(B102&gt;=1,파라미터!$B$10,0)+IF(B102&gt;=2,파라미터!$B$11,0)+IF(B102&gt;=3,파라미터!$B$12,0)))+MAX(0,파라미터!$B$5*(IF(B102&gt;=1,파라미터!$B$10,0)+IF(B102&gt;=2,파라미터!$B$11,0)+IF(B102&gt;=3,파라미터!$B$12,0))-파라미터!$B$15))*파라미터!$B$16-B102*파라미터!$B$7-MAX(0,파라미터!$B$19+파라미터!$B$20-MIN(파라미터!$B$15,파라미터!$B$5*(IF(B102&gt;=1,파라미터!$B$10,0)+IF(B102&gt;=2,파라미터!$B$11,0)+IF(B102&gt;=3,파라미터!$B$12,0))))-IF(MOD($A102-1,파라미터!$B$22)=0,파라미터!$B$21,0)</f>
        <v/>
      </c>
      <c r="D102" s="15">
        <f>MAX(0,D101+C102)</f>
        <v/>
      </c>
      <c r="E102" s="14">
        <f>IF(OR($A102&lt;파라미터!$B$6,MOD($A102,파라미터!$B$6)&gt;=2),0,INT((2-MOD($A102,파라미터!$B$6)-1)/파라미터!$B$6)+1)</f>
        <v/>
      </c>
      <c r="F102" s="15">
        <f>((E102*파라미터!$B$5-파라미터!$B$5*(IF(E102&gt;=1,파라미터!$B$10,0)+IF(E102&gt;=2,파라미터!$B$11,0)+IF(E102&gt;=3,파라미터!$B$12,0)))+MAX(0,파라미터!$B$5*(IF(E102&gt;=1,파라미터!$B$10,0)+IF(E102&gt;=2,파라미터!$B$11,0)+IF(E102&gt;=3,파라미터!$B$12,0))-파라미터!$B$15))*파라미터!$B$16-E102*파라미터!$B$7-MAX(0,파라미터!$B$19+파라미터!$B$20-MIN(파라미터!$B$15,파라미터!$B$5*(IF(E102&gt;=1,파라미터!$B$10,0)+IF(E102&gt;=2,파라미터!$B$11,0)+IF(E102&gt;=3,파라미터!$B$12,0))))-IF(MOD($A102-1,파라미터!$B$22)=0,파라미터!$B$21,0)</f>
        <v/>
      </c>
      <c r="G102" s="15">
        <f>MAX(0,G101+F102)</f>
        <v/>
      </c>
      <c r="H102" s="14">
        <f>IF(OR($A102&lt;파라미터!$B$6,MOD($A102,파라미터!$B$6)&gt;=3),0,INT((3-MOD($A102,파라미터!$B$6)-1)/파라미터!$B$6)+1)</f>
        <v/>
      </c>
      <c r="I102" s="15">
        <f>((H102*파라미터!$B$5-파라미터!$B$5*(IF(H102&gt;=1,파라미터!$B$10,0)+IF(H102&gt;=2,파라미터!$B$11,0)+IF(H102&gt;=3,파라미터!$B$12,0)))+MAX(0,파라미터!$B$5*(IF(H102&gt;=1,파라미터!$B$10,0)+IF(H102&gt;=2,파라미터!$B$11,0)+IF(H102&gt;=3,파라미터!$B$12,0))-파라미터!$B$15))*파라미터!$B$16-H102*파라미터!$B$7-MAX(0,파라미터!$B$19+파라미터!$B$20-MIN(파라미터!$B$15,파라미터!$B$5*(IF(H102&gt;=1,파라미터!$B$10,0)+IF(H102&gt;=2,파라미터!$B$11,0)+IF(H102&gt;=3,파라미터!$B$12,0))))-IF(MOD($A102-1,파라미터!$B$22)=0,파라미터!$B$21,0)</f>
        <v/>
      </c>
      <c r="J102" s="15">
        <f>MAX(0,J101+I102)</f>
        <v/>
      </c>
      <c r="K102" s="14">
        <f>IF(OR($A102&lt;파라미터!$B$6,MOD($A102,파라미터!$B$6)&gt;=5),0,INT((5-MOD($A102,파라미터!$B$6)-1)/파라미터!$B$6)+1)</f>
        <v/>
      </c>
      <c r="L102" s="15">
        <f>((K102*파라미터!$B$5-파라미터!$B$5*(IF(K102&gt;=1,파라미터!$B$10,0)+IF(K102&gt;=2,파라미터!$B$11,0)+IF(K102&gt;=3,파라미터!$B$12,0)))+MAX(0,파라미터!$B$5*(IF(K102&gt;=1,파라미터!$B$10,0)+IF(K102&gt;=2,파라미터!$B$11,0)+IF(K102&gt;=3,파라미터!$B$12,0))-파라미터!$B$15))*파라미터!$B$16-K102*파라미터!$B$7-MAX(0,파라미터!$B$19+파라미터!$B$20-MIN(파라미터!$B$15,파라미터!$B$5*(IF(K102&gt;=1,파라미터!$B$10,0)+IF(K102&gt;=2,파라미터!$B$11,0)+IF(K102&gt;=3,파라미터!$B$12,0))))-IF(MOD($A102-1,파라미터!$B$22)=0,파라미터!$B$21,0)</f>
        <v/>
      </c>
      <c r="M102" s="15">
        <f>MAX(0,M101+L102)</f>
        <v/>
      </c>
      <c r="N102" s="14">
        <f>IF(OR($A102&lt;파라미터!$B$6,MOD($A102,파라미터!$B$6)&gt;=10),0,INT((10-MOD($A102,파라미터!$B$6)-1)/파라미터!$B$6)+1)</f>
        <v/>
      </c>
      <c r="O102" s="15">
        <f>((N102*파라미터!$B$5-파라미터!$B$5*(IF(N102&gt;=1,파라미터!$B$10,0)+IF(N102&gt;=2,파라미터!$B$11,0)+IF(N102&gt;=3,파라미터!$B$12,0)))+MAX(0,파라미터!$B$5*(IF(N102&gt;=1,파라미터!$B$10,0)+IF(N102&gt;=2,파라미터!$B$11,0)+IF(N102&gt;=3,파라미터!$B$12,0))-파라미터!$B$15))*파라미터!$B$16-N102*파라미터!$B$7-MAX(0,파라미터!$B$19+파라미터!$B$20-MIN(파라미터!$B$15,파라미터!$B$5*(IF(N102&gt;=1,파라미터!$B$10,0)+IF(N102&gt;=2,파라미터!$B$11,0)+IF(N102&gt;=3,파라미터!$B$12,0))))-IF(MOD($A102-1,파라미터!$B$22)=0,파라미터!$B$21,0)</f>
        <v/>
      </c>
      <c r="P102" s="15">
        <f>MAX(0,P101+O102)</f>
        <v/>
      </c>
      <c r="Q102" s="14">
        <f>IF(OR($A102&lt;파라미터!$B$6,MOD($A102,파라미터!$B$6)&gt;=20),0,INT((20-MOD($A102,파라미터!$B$6)-1)/파라미터!$B$6)+1)</f>
        <v/>
      </c>
      <c r="R102" s="15">
        <f>((Q102*파라미터!$B$5-파라미터!$B$5*(IF(Q102&gt;=1,파라미터!$B$10,0)+IF(Q102&gt;=2,파라미터!$B$11,0)+IF(Q102&gt;=3,파라미터!$B$12,0)))+MAX(0,파라미터!$B$5*(IF(Q102&gt;=1,파라미터!$B$10,0)+IF(Q102&gt;=2,파라미터!$B$11,0)+IF(Q102&gt;=3,파라미터!$B$12,0))-파라미터!$B$15))*파라미터!$B$16-Q102*파라미터!$B$7-MAX(0,파라미터!$B$19+파라미터!$B$20-MIN(파라미터!$B$15,파라미터!$B$5*(IF(Q102&gt;=1,파라미터!$B$10,0)+IF(Q102&gt;=2,파라미터!$B$11,0)+IF(Q102&gt;=3,파라미터!$B$12,0))))-IF(MOD($A102-1,파라미터!$B$22)=0,파라미터!$B$21,0)</f>
        <v/>
      </c>
      <c r="S102" s="15">
        <f>MAX(0,S101+R102)</f>
        <v/>
      </c>
    </row>
    <row r="103">
      <c r="A103" s="13" t="n">
        <v>99</v>
      </c>
      <c r="B103" s="14">
        <f>IF(OR($A103&lt;파라미터!$B$6,MOD($A103,파라미터!$B$6)&gt;=1),0,INT((1-MOD($A103,파라미터!$B$6)-1)/파라미터!$B$6)+1)</f>
        <v/>
      </c>
      <c r="C103" s="15">
        <f>((B103*파라미터!$B$5-파라미터!$B$5*(IF(B103&gt;=1,파라미터!$B$10,0)+IF(B103&gt;=2,파라미터!$B$11,0)+IF(B103&gt;=3,파라미터!$B$12,0)))+MAX(0,파라미터!$B$5*(IF(B103&gt;=1,파라미터!$B$10,0)+IF(B103&gt;=2,파라미터!$B$11,0)+IF(B103&gt;=3,파라미터!$B$12,0))-파라미터!$B$15))*파라미터!$B$16-B103*파라미터!$B$7-MAX(0,파라미터!$B$19+파라미터!$B$20-MIN(파라미터!$B$15,파라미터!$B$5*(IF(B103&gt;=1,파라미터!$B$10,0)+IF(B103&gt;=2,파라미터!$B$11,0)+IF(B103&gt;=3,파라미터!$B$12,0))))-IF(MOD($A103-1,파라미터!$B$22)=0,파라미터!$B$21,0)</f>
        <v/>
      </c>
      <c r="D103" s="15">
        <f>MAX(0,D102+C103)</f>
        <v/>
      </c>
      <c r="E103" s="14">
        <f>IF(OR($A103&lt;파라미터!$B$6,MOD($A103,파라미터!$B$6)&gt;=2),0,INT((2-MOD($A103,파라미터!$B$6)-1)/파라미터!$B$6)+1)</f>
        <v/>
      </c>
      <c r="F103" s="15">
        <f>((E103*파라미터!$B$5-파라미터!$B$5*(IF(E103&gt;=1,파라미터!$B$10,0)+IF(E103&gt;=2,파라미터!$B$11,0)+IF(E103&gt;=3,파라미터!$B$12,0)))+MAX(0,파라미터!$B$5*(IF(E103&gt;=1,파라미터!$B$10,0)+IF(E103&gt;=2,파라미터!$B$11,0)+IF(E103&gt;=3,파라미터!$B$12,0))-파라미터!$B$15))*파라미터!$B$16-E103*파라미터!$B$7-MAX(0,파라미터!$B$19+파라미터!$B$20-MIN(파라미터!$B$15,파라미터!$B$5*(IF(E103&gt;=1,파라미터!$B$10,0)+IF(E103&gt;=2,파라미터!$B$11,0)+IF(E103&gt;=3,파라미터!$B$12,0))))-IF(MOD($A103-1,파라미터!$B$22)=0,파라미터!$B$21,0)</f>
        <v/>
      </c>
      <c r="G103" s="15">
        <f>MAX(0,G102+F103)</f>
        <v/>
      </c>
      <c r="H103" s="14">
        <f>IF(OR($A103&lt;파라미터!$B$6,MOD($A103,파라미터!$B$6)&gt;=3),0,INT((3-MOD($A103,파라미터!$B$6)-1)/파라미터!$B$6)+1)</f>
        <v/>
      </c>
      <c r="I103" s="15">
        <f>((H103*파라미터!$B$5-파라미터!$B$5*(IF(H103&gt;=1,파라미터!$B$10,0)+IF(H103&gt;=2,파라미터!$B$11,0)+IF(H103&gt;=3,파라미터!$B$12,0)))+MAX(0,파라미터!$B$5*(IF(H103&gt;=1,파라미터!$B$10,0)+IF(H103&gt;=2,파라미터!$B$11,0)+IF(H103&gt;=3,파라미터!$B$12,0))-파라미터!$B$15))*파라미터!$B$16-H103*파라미터!$B$7-MAX(0,파라미터!$B$19+파라미터!$B$20-MIN(파라미터!$B$15,파라미터!$B$5*(IF(H103&gt;=1,파라미터!$B$10,0)+IF(H103&gt;=2,파라미터!$B$11,0)+IF(H103&gt;=3,파라미터!$B$12,0))))-IF(MOD($A103-1,파라미터!$B$22)=0,파라미터!$B$21,0)</f>
        <v/>
      </c>
      <c r="J103" s="15">
        <f>MAX(0,J102+I103)</f>
        <v/>
      </c>
      <c r="K103" s="14">
        <f>IF(OR($A103&lt;파라미터!$B$6,MOD($A103,파라미터!$B$6)&gt;=5),0,INT((5-MOD($A103,파라미터!$B$6)-1)/파라미터!$B$6)+1)</f>
        <v/>
      </c>
      <c r="L103" s="15">
        <f>((K103*파라미터!$B$5-파라미터!$B$5*(IF(K103&gt;=1,파라미터!$B$10,0)+IF(K103&gt;=2,파라미터!$B$11,0)+IF(K103&gt;=3,파라미터!$B$12,0)))+MAX(0,파라미터!$B$5*(IF(K103&gt;=1,파라미터!$B$10,0)+IF(K103&gt;=2,파라미터!$B$11,0)+IF(K103&gt;=3,파라미터!$B$12,0))-파라미터!$B$15))*파라미터!$B$16-K103*파라미터!$B$7-MAX(0,파라미터!$B$19+파라미터!$B$20-MIN(파라미터!$B$15,파라미터!$B$5*(IF(K103&gt;=1,파라미터!$B$10,0)+IF(K103&gt;=2,파라미터!$B$11,0)+IF(K103&gt;=3,파라미터!$B$12,0))))-IF(MOD($A103-1,파라미터!$B$22)=0,파라미터!$B$21,0)</f>
        <v/>
      </c>
      <c r="M103" s="15">
        <f>MAX(0,M102+L103)</f>
        <v/>
      </c>
      <c r="N103" s="14">
        <f>IF(OR($A103&lt;파라미터!$B$6,MOD($A103,파라미터!$B$6)&gt;=10),0,INT((10-MOD($A103,파라미터!$B$6)-1)/파라미터!$B$6)+1)</f>
        <v/>
      </c>
      <c r="O103" s="15">
        <f>((N103*파라미터!$B$5-파라미터!$B$5*(IF(N103&gt;=1,파라미터!$B$10,0)+IF(N103&gt;=2,파라미터!$B$11,0)+IF(N103&gt;=3,파라미터!$B$12,0)))+MAX(0,파라미터!$B$5*(IF(N103&gt;=1,파라미터!$B$10,0)+IF(N103&gt;=2,파라미터!$B$11,0)+IF(N103&gt;=3,파라미터!$B$12,0))-파라미터!$B$15))*파라미터!$B$16-N103*파라미터!$B$7-MAX(0,파라미터!$B$19+파라미터!$B$20-MIN(파라미터!$B$15,파라미터!$B$5*(IF(N103&gt;=1,파라미터!$B$10,0)+IF(N103&gt;=2,파라미터!$B$11,0)+IF(N103&gt;=3,파라미터!$B$12,0))))-IF(MOD($A103-1,파라미터!$B$22)=0,파라미터!$B$21,0)</f>
        <v/>
      </c>
      <c r="P103" s="15">
        <f>MAX(0,P102+O103)</f>
        <v/>
      </c>
      <c r="Q103" s="14">
        <f>IF(OR($A103&lt;파라미터!$B$6,MOD($A103,파라미터!$B$6)&gt;=20),0,INT((20-MOD($A103,파라미터!$B$6)-1)/파라미터!$B$6)+1)</f>
        <v/>
      </c>
      <c r="R103" s="15">
        <f>((Q103*파라미터!$B$5-파라미터!$B$5*(IF(Q103&gt;=1,파라미터!$B$10,0)+IF(Q103&gt;=2,파라미터!$B$11,0)+IF(Q103&gt;=3,파라미터!$B$12,0)))+MAX(0,파라미터!$B$5*(IF(Q103&gt;=1,파라미터!$B$10,0)+IF(Q103&gt;=2,파라미터!$B$11,0)+IF(Q103&gt;=3,파라미터!$B$12,0))-파라미터!$B$15))*파라미터!$B$16-Q103*파라미터!$B$7-MAX(0,파라미터!$B$19+파라미터!$B$20-MIN(파라미터!$B$15,파라미터!$B$5*(IF(Q103&gt;=1,파라미터!$B$10,0)+IF(Q103&gt;=2,파라미터!$B$11,0)+IF(Q103&gt;=3,파라미터!$B$12,0))))-IF(MOD($A103-1,파라미터!$B$22)=0,파라미터!$B$21,0)</f>
        <v/>
      </c>
      <c r="S103" s="15">
        <f>MAX(0,S102+R103)</f>
        <v/>
      </c>
    </row>
    <row r="104">
      <c r="A104" s="13" t="n">
        <v>100</v>
      </c>
      <c r="B104" s="14">
        <f>IF(OR($A104&lt;파라미터!$B$6,MOD($A104,파라미터!$B$6)&gt;=1),0,INT((1-MOD($A104,파라미터!$B$6)-1)/파라미터!$B$6)+1)</f>
        <v/>
      </c>
      <c r="C104" s="15">
        <f>((B104*파라미터!$B$5-파라미터!$B$5*(IF(B104&gt;=1,파라미터!$B$10,0)+IF(B104&gt;=2,파라미터!$B$11,0)+IF(B104&gt;=3,파라미터!$B$12,0)))+MAX(0,파라미터!$B$5*(IF(B104&gt;=1,파라미터!$B$10,0)+IF(B104&gt;=2,파라미터!$B$11,0)+IF(B104&gt;=3,파라미터!$B$12,0))-파라미터!$B$15))*파라미터!$B$16-B104*파라미터!$B$7-MAX(0,파라미터!$B$19+파라미터!$B$20-MIN(파라미터!$B$15,파라미터!$B$5*(IF(B104&gt;=1,파라미터!$B$10,0)+IF(B104&gt;=2,파라미터!$B$11,0)+IF(B104&gt;=3,파라미터!$B$12,0))))-IF(MOD($A104-1,파라미터!$B$22)=0,파라미터!$B$21,0)</f>
        <v/>
      </c>
      <c r="D104" s="15">
        <f>MAX(0,D103+C104)</f>
        <v/>
      </c>
      <c r="E104" s="14">
        <f>IF(OR($A104&lt;파라미터!$B$6,MOD($A104,파라미터!$B$6)&gt;=2),0,INT((2-MOD($A104,파라미터!$B$6)-1)/파라미터!$B$6)+1)</f>
        <v/>
      </c>
      <c r="F104" s="15">
        <f>((E104*파라미터!$B$5-파라미터!$B$5*(IF(E104&gt;=1,파라미터!$B$10,0)+IF(E104&gt;=2,파라미터!$B$11,0)+IF(E104&gt;=3,파라미터!$B$12,0)))+MAX(0,파라미터!$B$5*(IF(E104&gt;=1,파라미터!$B$10,0)+IF(E104&gt;=2,파라미터!$B$11,0)+IF(E104&gt;=3,파라미터!$B$12,0))-파라미터!$B$15))*파라미터!$B$16-E104*파라미터!$B$7-MAX(0,파라미터!$B$19+파라미터!$B$20-MIN(파라미터!$B$15,파라미터!$B$5*(IF(E104&gt;=1,파라미터!$B$10,0)+IF(E104&gt;=2,파라미터!$B$11,0)+IF(E104&gt;=3,파라미터!$B$12,0))))-IF(MOD($A104-1,파라미터!$B$22)=0,파라미터!$B$21,0)</f>
        <v/>
      </c>
      <c r="G104" s="15">
        <f>MAX(0,G103+F104)</f>
        <v/>
      </c>
      <c r="H104" s="14">
        <f>IF(OR($A104&lt;파라미터!$B$6,MOD($A104,파라미터!$B$6)&gt;=3),0,INT((3-MOD($A104,파라미터!$B$6)-1)/파라미터!$B$6)+1)</f>
        <v/>
      </c>
      <c r="I104" s="15">
        <f>((H104*파라미터!$B$5-파라미터!$B$5*(IF(H104&gt;=1,파라미터!$B$10,0)+IF(H104&gt;=2,파라미터!$B$11,0)+IF(H104&gt;=3,파라미터!$B$12,0)))+MAX(0,파라미터!$B$5*(IF(H104&gt;=1,파라미터!$B$10,0)+IF(H104&gt;=2,파라미터!$B$11,0)+IF(H104&gt;=3,파라미터!$B$12,0))-파라미터!$B$15))*파라미터!$B$16-H104*파라미터!$B$7-MAX(0,파라미터!$B$19+파라미터!$B$20-MIN(파라미터!$B$15,파라미터!$B$5*(IF(H104&gt;=1,파라미터!$B$10,0)+IF(H104&gt;=2,파라미터!$B$11,0)+IF(H104&gt;=3,파라미터!$B$12,0))))-IF(MOD($A104-1,파라미터!$B$22)=0,파라미터!$B$21,0)</f>
        <v/>
      </c>
      <c r="J104" s="15">
        <f>MAX(0,J103+I104)</f>
        <v/>
      </c>
      <c r="K104" s="14">
        <f>IF(OR($A104&lt;파라미터!$B$6,MOD($A104,파라미터!$B$6)&gt;=5),0,INT((5-MOD($A104,파라미터!$B$6)-1)/파라미터!$B$6)+1)</f>
        <v/>
      </c>
      <c r="L104" s="15">
        <f>((K104*파라미터!$B$5-파라미터!$B$5*(IF(K104&gt;=1,파라미터!$B$10,0)+IF(K104&gt;=2,파라미터!$B$11,0)+IF(K104&gt;=3,파라미터!$B$12,0)))+MAX(0,파라미터!$B$5*(IF(K104&gt;=1,파라미터!$B$10,0)+IF(K104&gt;=2,파라미터!$B$11,0)+IF(K104&gt;=3,파라미터!$B$12,0))-파라미터!$B$15))*파라미터!$B$16-K104*파라미터!$B$7-MAX(0,파라미터!$B$19+파라미터!$B$20-MIN(파라미터!$B$15,파라미터!$B$5*(IF(K104&gt;=1,파라미터!$B$10,0)+IF(K104&gt;=2,파라미터!$B$11,0)+IF(K104&gt;=3,파라미터!$B$12,0))))-IF(MOD($A104-1,파라미터!$B$22)=0,파라미터!$B$21,0)</f>
        <v/>
      </c>
      <c r="M104" s="15">
        <f>MAX(0,M103+L104)</f>
        <v/>
      </c>
      <c r="N104" s="14">
        <f>IF(OR($A104&lt;파라미터!$B$6,MOD($A104,파라미터!$B$6)&gt;=10),0,INT((10-MOD($A104,파라미터!$B$6)-1)/파라미터!$B$6)+1)</f>
        <v/>
      </c>
      <c r="O104" s="15">
        <f>((N104*파라미터!$B$5-파라미터!$B$5*(IF(N104&gt;=1,파라미터!$B$10,0)+IF(N104&gt;=2,파라미터!$B$11,0)+IF(N104&gt;=3,파라미터!$B$12,0)))+MAX(0,파라미터!$B$5*(IF(N104&gt;=1,파라미터!$B$10,0)+IF(N104&gt;=2,파라미터!$B$11,0)+IF(N104&gt;=3,파라미터!$B$12,0))-파라미터!$B$15))*파라미터!$B$16-N104*파라미터!$B$7-MAX(0,파라미터!$B$19+파라미터!$B$20-MIN(파라미터!$B$15,파라미터!$B$5*(IF(N104&gt;=1,파라미터!$B$10,0)+IF(N104&gt;=2,파라미터!$B$11,0)+IF(N104&gt;=3,파라미터!$B$12,0))))-IF(MOD($A104-1,파라미터!$B$22)=0,파라미터!$B$21,0)</f>
        <v/>
      </c>
      <c r="P104" s="15">
        <f>MAX(0,P103+O104)</f>
        <v/>
      </c>
      <c r="Q104" s="14">
        <f>IF(OR($A104&lt;파라미터!$B$6,MOD($A104,파라미터!$B$6)&gt;=20),0,INT((20-MOD($A104,파라미터!$B$6)-1)/파라미터!$B$6)+1)</f>
        <v/>
      </c>
      <c r="R104" s="15">
        <f>((Q104*파라미터!$B$5-파라미터!$B$5*(IF(Q104&gt;=1,파라미터!$B$10,0)+IF(Q104&gt;=2,파라미터!$B$11,0)+IF(Q104&gt;=3,파라미터!$B$12,0)))+MAX(0,파라미터!$B$5*(IF(Q104&gt;=1,파라미터!$B$10,0)+IF(Q104&gt;=2,파라미터!$B$11,0)+IF(Q104&gt;=3,파라미터!$B$12,0))-파라미터!$B$15))*파라미터!$B$16-Q104*파라미터!$B$7-MAX(0,파라미터!$B$19+파라미터!$B$20-MIN(파라미터!$B$15,파라미터!$B$5*(IF(Q104&gt;=1,파라미터!$B$10,0)+IF(Q104&gt;=2,파라미터!$B$11,0)+IF(Q104&gt;=3,파라미터!$B$12,0))))-IF(MOD($A104-1,파라미터!$B$22)=0,파라미터!$B$21,0)</f>
        <v/>
      </c>
      <c r="S104" s="15">
        <f>MAX(0,S103+R104)</f>
        <v/>
      </c>
    </row>
    <row r="105">
      <c r="A105" s="13" t="n">
        <v>101</v>
      </c>
      <c r="B105" s="14">
        <f>IF(OR($A105&lt;파라미터!$B$6,MOD($A105,파라미터!$B$6)&gt;=1),0,INT((1-MOD($A105,파라미터!$B$6)-1)/파라미터!$B$6)+1)</f>
        <v/>
      </c>
      <c r="C105" s="15">
        <f>((B105*파라미터!$B$5-파라미터!$B$5*(IF(B105&gt;=1,파라미터!$B$10,0)+IF(B105&gt;=2,파라미터!$B$11,0)+IF(B105&gt;=3,파라미터!$B$12,0)))+MAX(0,파라미터!$B$5*(IF(B105&gt;=1,파라미터!$B$10,0)+IF(B105&gt;=2,파라미터!$B$11,0)+IF(B105&gt;=3,파라미터!$B$12,0))-파라미터!$B$15))*파라미터!$B$16-B105*파라미터!$B$7-MAX(0,파라미터!$B$19+파라미터!$B$20-MIN(파라미터!$B$15,파라미터!$B$5*(IF(B105&gt;=1,파라미터!$B$10,0)+IF(B105&gt;=2,파라미터!$B$11,0)+IF(B105&gt;=3,파라미터!$B$12,0))))-IF(MOD($A105-1,파라미터!$B$22)=0,파라미터!$B$21,0)</f>
        <v/>
      </c>
      <c r="D105" s="15">
        <f>MAX(0,D104+C105)</f>
        <v/>
      </c>
      <c r="E105" s="14">
        <f>IF(OR($A105&lt;파라미터!$B$6,MOD($A105,파라미터!$B$6)&gt;=2),0,INT((2-MOD($A105,파라미터!$B$6)-1)/파라미터!$B$6)+1)</f>
        <v/>
      </c>
      <c r="F105" s="15">
        <f>((E105*파라미터!$B$5-파라미터!$B$5*(IF(E105&gt;=1,파라미터!$B$10,0)+IF(E105&gt;=2,파라미터!$B$11,0)+IF(E105&gt;=3,파라미터!$B$12,0)))+MAX(0,파라미터!$B$5*(IF(E105&gt;=1,파라미터!$B$10,0)+IF(E105&gt;=2,파라미터!$B$11,0)+IF(E105&gt;=3,파라미터!$B$12,0))-파라미터!$B$15))*파라미터!$B$16-E105*파라미터!$B$7-MAX(0,파라미터!$B$19+파라미터!$B$20-MIN(파라미터!$B$15,파라미터!$B$5*(IF(E105&gt;=1,파라미터!$B$10,0)+IF(E105&gt;=2,파라미터!$B$11,0)+IF(E105&gt;=3,파라미터!$B$12,0))))-IF(MOD($A105-1,파라미터!$B$22)=0,파라미터!$B$21,0)</f>
        <v/>
      </c>
      <c r="G105" s="15">
        <f>MAX(0,G104+F105)</f>
        <v/>
      </c>
      <c r="H105" s="14">
        <f>IF(OR($A105&lt;파라미터!$B$6,MOD($A105,파라미터!$B$6)&gt;=3),0,INT((3-MOD($A105,파라미터!$B$6)-1)/파라미터!$B$6)+1)</f>
        <v/>
      </c>
      <c r="I105" s="15">
        <f>((H105*파라미터!$B$5-파라미터!$B$5*(IF(H105&gt;=1,파라미터!$B$10,0)+IF(H105&gt;=2,파라미터!$B$11,0)+IF(H105&gt;=3,파라미터!$B$12,0)))+MAX(0,파라미터!$B$5*(IF(H105&gt;=1,파라미터!$B$10,0)+IF(H105&gt;=2,파라미터!$B$11,0)+IF(H105&gt;=3,파라미터!$B$12,0))-파라미터!$B$15))*파라미터!$B$16-H105*파라미터!$B$7-MAX(0,파라미터!$B$19+파라미터!$B$20-MIN(파라미터!$B$15,파라미터!$B$5*(IF(H105&gt;=1,파라미터!$B$10,0)+IF(H105&gt;=2,파라미터!$B$11,0)+IF(H105&gt;=3,파라미터!$B$12,0))))-IF(MOD($A105-1,파라미터!$B$22)=0,파라미터!$B$21,0)</f>
        <v/>
      </c>
      <c r="J105" s="15">
        <f>MAX(0,J104+I105)</f>
        <v/>
      </c>
      <c r="K105" s="14">
        <f>IF(OR($A105&lt;파라미터!$B$6,MOD($A105,파라미터!$B$6)&gt;=5),0,INT((5-MOD($A105,파라미터!$B$6)-1)/파라미터!$B$6)+1)</f>
        <v/>
      </c>
      <c r="L105" s="15">
        <f>((K105*파라미터!$B$5-파라미터!$B$5*(IF(K105&gt;=1,파라미터!$B$10,0)+IF(K105&gt;=2,파라미터!$B$11,0)+IF(K105&gt;=3,파라미터!$B$12,0)))+MAX(0,파라미터!$B$5*(IF(K105&gt;=1,파라미터!$B$10,0)+IF(K105&gt;=2,파라미터!$B$11,0)+IF(K105&gt;=3,파라미터!$B$12,0))-파라미터!$B$15))*파라미터!$B$16-K105*파라미터!$B$7-MAX(0,파라미터!$B$19+파라미터!$B$20-MIN(파라미터!$B$15,파라미터!$B$5*(IF(K105&gt;=1,파라미터!$B$10,0)+IF(K105&gt;=2,파라미터!$B$11,0)+IF(K105&gt;=3,파라미터!$B$12,0))))-IF(MOD($A105-1,파라미터!$B$22)=0,파라미터!$B$21,0)</f>
        <v/>
      </c>
      <c r="M105" s="15">
        <f>MAX(0,M104+L105)</f>
        <v/>
      </c>
      <c r="N105" s="14">
        <f>IF(OR($A105&lt;파라미터!$B$6,MOD($A105,파라미터!$B$6)&gt;=10),0,INT((10-MOD($A105,파라미터!$B$6)-1)/파라미터!$B$6)+1)</f>
        <v/>
      </c>
      <c r="O105" s="15">
        <f>((N105*파라미터!$B$5-파라미터!$B$5*(IF(N105&gt;=1,파라미터!$B$10,0)+IF(N105&gt;=2,파라미터!$B$11,0)+IF(N105&gt;=3,파라미터!$B$12,0)))+MAX(0,파라미터!$B$5*(IF(N105&gt;=1,파라미터!$B$10,0)+IF(N105&gt;=2,파라미터!$B$11,0)+IF(N105&gt;=3,파라미터!$B$12,0))-파라미터!$B$15))*파라미터!$B$16-N105*파라미터!$B$7-MAX(0,파라미터!$B$19+파라미터!$B$20-MIN(파라미터!$B$15,파라미터!$B$5*(IF(N105&gt;=1,파라미터!$B$10,0)+IF(N105&gt;=2,파라미터!$B$11,0)+IF(N105&gt;=3,파라미터!$B$12,0))))-IF(MOD($A105-1,파라미터!$B$22)=0,파라미터!$B$21,0)</f>
        <v/>
      </c>
      <c r="P105" s="15">
        <f>MAX(0,P104+O105)</f>
        <v/>
      </c>
      <c r="Q105" s="14">
        <f>IF(OR($A105&lt;파라미터!$B$6,MOD($A105,파라미터!$B$6)&gt;=20),0,INT((20-MOD($A105,파라미터!$B$6)-1)/파라미터!$B$6)+1)</f>
        <v/>
      </c>
      <c r="R105" s="15">
        <f>((Q105*파라미터!$B$5-파라미터!$B$5*(IF(Q105&gt;=1,파라미터!$B$10,0)+IF(Q105&gt;=2,파라미터!$B$11,0)+IF(Q105&gt;=3,파라미터!$B$12,0)))+MAX(0,파라미터!$B$5*(IF(Q105&gt;=1,파라미터!$B$10,0)+IF(Q105&gt;=2,파라미터!$B$11,0)+IF(Q105&gt;=3,파라미터!$B$12,0))-파라미터!$B$15))*파라미터!$B$16-Q105*파라미터!$B$7-MAX(0,파라미터!$B$19+파라미터!$B$20-MIN(파라미터!$B$15,파라미터!$B$5*(IF(Q105&gt;=1,파라미터!$B$10,0)+IF(Q105&gt;=2,파라미터!$B$11,0)+IF(Q105&gt;=3,파라미터!$B$12,0))))-IF(MOD($A105-1,파라미터!$B$22)=0,파라미터!$B$21,0)</f>
        <v/>
      </c>
      <c r="S105" s="15">
        <f>MAX(0,S104+R105)</f>
        <v/>
      </c>
    </row>
    <row r="106">
      <c r="A106" s="13" t="n">
        <v>102</v>
      </c>
      <c r="B106" s="14">
        <f>IF(OR($A106&lt;파라미터!$B$6,MOD($A106,파라미터!$B$6)&gt;=1),0,INT((1-MOD($A106,파라미터!$B$6)-1)/파라미터!$B$6)+1)</f>
        <v/>
      </c>
      <c r="C106" s="15">
        <f>((B106*파라미터!$B$5-파라미터!$B$5*(IF(B106&gt;=1,파라미터!$B$10,0)+IF(B106&gt;=2,파라미터!$B$11,0)+IF(B106&gt;=3,파라미터!$B$12,0)))+MAX(0,파라미터!$B$5*(IF(B106&gt;=1,파라미터!$B$10,0)+IF(B106&gt;=2,파라미터!$B$11,0)+IF(B106&gt;=3,파라미터!$B$12,0))-파라미터!$B$15))*파라미터!$B$16-B106*파라미터!$B$7-MAX(0,파라미터!$B$19+파라미터!$B$20-MIN(파라미터!$B$15,파라미터!$B$5*(IF(B106&gt;=1,파라미터!$B$10,0)+IF(B106&gt;=2,파라미터!$B$11,0)+IF(B106&gt;=3,파라미터!$B$12,0))))-IF(MOD($A106-1,파라미터!$B$22)=0,파라미터!$B$21,0)</f>
        <v/>
      </c>
      <c r="D106" s="15">
        <f>MAX(0,D105+C106)</f>
        <v/>
      </c>
      <c r="E106" s="14">
        <f>IF(OR($A106&lt;파라미터!$B$6,MOD($A106,파라미터!$B$6)&gt;=2),0,INT((2-MOD($A106,파라미터!$B$6)-1)/파라미터!$B$6)+1)</f>
        <v/>
      </c>
      <c r="F106" s="15">
        <f>((E106*파라미터!$B$5-파라미터!$B$5*(IF(E106&gt;=1,파라미터!$B$10,0)+IF(E106&gt;=2,파라미터!$B$11,0)+IF(E106&gt;=3,파라미터!$B$12,0)))+MAX(0,파라미터!$B$5*(IF(E106&gt;=1,파라미터!$B$10,0)+IF(E106&gt;=2,파라미터!$B$11,0)+IF(E106&gt;=3,파라미터!$B$12,0))-파라미터!$B$15))*파라미터!$B$16-E106*파라미터!$B$7-MAX(0,파라미터!$B$19+파라미터!$B$20-MIN(파라미터!$B$15,파라미터!$B$5*(IF(E106&gt;=1,파라미터!$B$10,0)+IF(E106&gt;=2,파라미터!$B$11,0)+IF(E106&gt;=3,파라미터!$B$12,0))))-IF(MOD($A106-1,파라미터!$B$22)=0,파라미터!$B$21,0)</f>
        <v/>
      </c>
      <c r="G106" s="15">
        <f>MAX(0,G105+F106)</f>
        <v/>
      </c>
      <c r="H106" s="14">
        <f>IF(OR($A106&lt;파라미터!$B$6,MOD($A106,파라미터!$B$6)&gt;=3),0,INT((3-MOD($A106,파라미터!$B$6)-1)/파라미터!$B$6)+1)</f>
        <v/>
      </c>
      <c r="I106" s="15">
        <f>((H106*파라미터!$B$5-파라미터!$B$5*(IF(H106&gt;=1,파라미터!$B$10,0)+IF(H106&gt;=2,파라미터!$B$11,0)+IF(H106&gt;=3,파라미터!$B$12,0)))+MAX(0,파라미터!$B$5*(IF(H106&gt;=1,파라미터!$B$10,0)+IF(H106&gt;=2,파라미터!$B$11,0)+IF(H106&gt;=3,파라미터!$B$12,0))-파라미터!$B$15))*파라미터!$B$16-H106*파라미터!$B$7-MAX(0,파라미터!$B$19+파라미터!$B$20-MIN(파라미터!$B$15,파라미터!$B$5*(IF(H106&gt;=1,파라미터!$B$10,0)+IF(H106&gt;=2,파라미터!$B$11,0)+IF(H106&gt;=3,파라미터!$B$12,0))))-IF(MOD($A106-1,파라미터!$B$22)=0,파라미터!$B$21,0)</f>
        <v/>
      </c>
      <c r="J106" s="15">
        <f>MAX(0,J105+I106)</f>
        <v/>
      </c>
      <c r="K106" s="14">
        <f>IF(OR($A106&lt;파라미터!$B$6,MOD($A106,파라미터!$B$6)&gt;=5),0,INT((5-MOD($A106,파라미터!$B$6)-1)/파라미터!$B$6)+1)</f>
        <v/>
      </c>
      <c r="L106" s="15">
        <f>((K106*파라미터!$B$5-파라미터!$B$5*(IF(K106&gt;=1,파라미터!$B$10,0)+IF(K106&gt;=2,파라미터!$B$11,0)+IF(K106&gt;=3,파라미터!$B$12,0)))+MAX(0,파라미터!$B$5*(IF(K106&gt;=1,파라미터!$B$10,0)+IF(K106&gt;=2,파라미터!$B$11,0)+IF(K106&gt;=3,파라미터!$B$12,0))-파라미터!$B$15))*파라미터!$B$16-K106*파라미터!$B$7-MAX(0,파라미터!$B$19+파라미터!$B$20-MIN(파라미터!$B$15,파라미터!$B$5*(IF(K106&gt;=1,파라미터!$B$10,0)+IF(K106&gt;=2,파라미터!$B$11,0)+IF(K106&gt;=3,파라미터!$B$12,0))))-IF(MOD($A106-1,파라미터!$B$22)=0,파라미터!$B$21,0)</f>
        <v/>
      </c>
      <c r="M106" s="15">
        <f>MAX(0,M105+L106)</f>
        <v/>
      </c>
      <c r="N106" s="14">
        <f>IF(OR($A106&lt;파라미터!$B$6,MOD($A106,파라미터!$B$6)&gt;=10),0,INT((10-MOD($A106,파라미터!$B$6)-1)/파라미터!$B$6)+1)</f>
        <v/>
      </c>
      <c r="O106" s="15">
        <f>((N106*파라미터!$B$5-파라미터!$B$5*(IF(N106&gt;=1,파라미터!$B$10,0)+IF(N106&gt;=2,파라미터!$B$11,0)+IF(N106&gt;=3,파라미터!$B$12,0)))+MAX(0,파라미터!$B$5*(IF(N106&gt;=1,파라미터!$B$10,0)+IF(N106&gt;=2,파라미터!$B$11,0)+IF(N106&gt;=3,파라미터!$B$12,0))-파라미터!$B$15))*파라미터!$B$16-N106*파라미터!$B$7-MAX(0,파라미터!$B$19+파라미터!$B$20-MIN(파라미터!$B$15,파라미터!$B$5*(IF(N106&gt;=1,파라미터!$B$10,0)+IF(N106&gt;=2,파라미터!$B$11,0)+IF(N106&gt;=3,파라미터!$B$12,0))))-IF(MOD($A106-1,파라미터!$B$22)=0,파라미터!$B$21,0)</f>
        <v/>
      </c>
      <c r="P106" s="15">
        <f>MAX(0,P105+O106)</f>
        <v/>
      </c>
      <c r="Q106" s="14">
        <f>IF(OR($A106&lt;파라미터!$B$6,MOD($A106,파라미터!$B$6)&gt;=20),0,INT((20-MOD($A106,파라미터!$B$6)-1)/파라미터!$B$6)+1)</f>
        <v/>
      </c>
      <c r="R106" s="15">
        <f>((Q106*파라미터!$B$5-파라미터!$B$5*(IF(Q106&gt;=1,파라미터!$B$10,0)+IF(Q106&gt;=2,파라미터!$B$11,0)+IF(Q106&gt;=3,파라미터!$B$12,0)))+MAX(0,파라미터!$B$5*(IF(Q106&gt;=1,파라미터!$B$10,0)+IF(Q106&gt;=2,파라미터!$B$11,0)+IF(Q106&gt;=3,파라미터!$B$12,0))-파라미터!$B$15))*파라미터!$B$16-Q106*파라미터!$B$7-MAX(0,파라미터!$B$19+파라미터!$B$20-MIN(파라미터!$B$15,파라미터!$B$5*(IF(Q106&gt;=1,파라미터!$B$10,0)+IF(Q106&gt;=2,파라미터!$B$11,0)+IF(Q106&gt;=3,파라미터!$B$12,0))))-IF(MOD($A106-1,파라미터!$B$22)=0,파라미터!$B$21,0)</f>
        <v/>
      </c>
      <c r="S106" s="15">
        <f>MAX(0,S105+R106)</f>
        <v/>
      </c>
    </row>
    <row r="107">
      <c r="A107" s="13" t="n">
        <v>103</v>
      </c>
      <c r="B107" s="14">
        <f>IF(OR($A107&lt;파라미터!$B$6,MOD($A107,파라미터!$B$6)&gt;=1),0,INT((1-MOD($A107,파라미터!$B$6)-1)/파라미터!$B$6)+1)</f>
        <v/>
      </c>
      <c r="C107" s="15">
        <f>((B107*파라미터!$B$5-파라미터!$B$5*(IF(B107&gt;=1,파라미터!$B$10,0)+IF(B107&gt;=2,파라미터!$B$11,0)+IF(B107&gt;=3,파라미터!$B$12,0)))+MAX(0,파라미터!$B$5*(IF(B107&gt;=1,파라미터!$B$10,0)+IF(B107&gt;=2,파라미터!$B$11,0)+IF(B107&gt;=3,파라미터!$B$12,0))-파라미터!$B$15))*파라미터!$B$16-B107*파라미터!$B$7-MAX(0,파라미터!$B$19+파라미터!$B$20-MIN(파라미터!$B$15,파라미터!$B$5*(IF(B107&gt;=1,파라미터!$B$10,0)+IF(B107&gt;=2,파라미터!$B$11,0)+IF(B107&gt;=3,파라미터!$B$12,0))))-IF(MOD($A107-1,파라미터!$B$22)=0,파라미터!$B$21,0)</f>
        <v/>
      </c>
      <c r="D107" s="15">
        <f>MAX(0,D106+C107)</f>
        <v/>
      </c>
      <c r="E107" s="14">
        <f>IF(OR($A107&lt;파라미터!$B$6,MOD($A107,파라미터!$B$6)&gt;=2),0,INT((2-MOD($A107,파라미터!$B$6)-1)/파라미터!$B$6)+1)</f>
        <v/>
      </c>
      <c r="F107" s="15">
        <f>((E107*파라미터!$B$5-파라미터!$B$5*(IF(E107&gt;=1,파라미터!$B$10,0)+IF(E107&gt;=2,파라미터!$B$11,0)+IF(E107&gt;=3,파라미터!$B$12,0)))+MAX(0,파라미터!$B$5*(IF(E107&gt;=1,파라미터!$B$10,0)+IF(E107&gt;=2,파라미터!$B$11,0)+IF(E107&gt;=3,파라미터!$B$12,0))-파라미터!$B$15))*파라미터!$B$16-E107*파라미터!$B$7-MAX(0,파라미터!$B$19+파라미터!$B$20-MIN(파라미터!$B$15,파라미터!$B$5*(IF(E107&gt;=1,파라미터!$B$10,0)+IF(E107&gt;=2,파라미터!$B$11,0)+IF(E107&gt;=3,파라미터!$B$12,0))))-IF(MOD($A107-1,파라미터!$B$22)=0,파라미터!$B$21,0)</f>
        <v/>
      </c>
      <c r="G107" s="15">
        <f>MAX(0,G106+F107)</f>
        <v/>
      </c>
      <c r="H107" s="14">
        <f>IF(OR($A107&lt;파라미터!$B$6,MOD($A107,파라미터!$B$6)&gt;=3),0,INT((3-MOD($A107,파라미터!$B$6)-1)/파라미터!$B$6)+1)</f>
        <v/>
      </c>
      <c r="I107" s="15">
        <f>((H107*파라미터!$B$5-파라미터!$B$5*(IF(H107&gt;=1,파라미터!$B$10,0)+IF(H107&gt;=2,파라미터!$B$11,0)+IF(H107&gt;=3,파라미터!$B$12,0)))+MAX(0,파라미터!$B$5*(IF(H107&gt;=1,파라미터!$B$10,0)+IF(H107&gt;=2,파라미터!$B$11,0)+IF(H107&gt;=3,파라미터!$B$12,0))-파라미터!$B$15))*파라미터!$B$16-H107*파라미터!$B$7-MAX(0,파라미터!$B$19+파라미터!$B$20-MIN(파라미터!$B$15,파라미터!$B$5*(IF(H107&gt;=1,파라미터!$B$10,0)+IF(H107&gt;=2,파라미터!$B$11,0)+IF(H107&gt;=3,파라미터!$B$12,0))))-IF(MOD($A107-1,파라미터!$B$22)=0,파라미터!$B$21,0)</f>
        <v/>
      </c>
      <c r="J107" s="15">
        <f>MAX(0,J106+I107)</f>
        <v/>
      </c>
      <c r="K107" s="14">
        <f>IF(OR($A107&lt;파라미터!$B$6,MOD($A107,파라미터!$B$6)&gt;=5),0,INT((5-MOD($A107,파라미터!$B$6)-1)/파라미터!$B$6)+1)</f>
        <v/>
      </c>
      <c r="L107" s="15">
        <f>((K107*파라미터!$B$5-파라미터!$B$5*(IF(K107&gt;=1,파라미터!$B$10,0)+IF(K107&gt;=2,파라미터!$B$11,0)+IF(K107&gt;=3,파라미터!$B$12,0)))+MAX(0,파라미터!$B$5*(IF(K107&gt;=1,파라미터!$B$10,0)+IF(K107&gt;=2,파라미터!$B$11,0)+IF(K107&gt;=3,파라미터!$B$12,0))-파라미터!$B$15))*파라미터!$B$16-K107*파라미터!$B$7-MAX(0,파라미터!$B$19+파라미터!$B$20-MIN(파라미터!$B$15,파라미터!$B$5*(IF(K107&gt;=1,파라미터!$B$10,0)+IF(K107&gt;=2,파라미터!$B$11,0)+IF(K107&gt;=3,파라미터!$B$12,0))))-IF(MOD($A107-1,파라미터!$B$22)=0,파라미터!$B$21,0)</f>
        <v/>
      </c>
      <c r="M107" s="15">
        <f>MAX(0,M106+L107)</f>
        <v/>
      </c>
      <c r="N107" s="14">
        <f>IF(OR($A107&lt;파라미터!$B$6,MOD($A107,파라미터!$B$6)&gt;=10),0,INT((10-MOD($A107,파라미터!$B$6)-1)/파라미터!$B$6)+1)</f>
        <v/>
      </c>
      <c r="O107" s="15">
        <f>((N107*파라미터!$B$5-파라미터!$B$5*(IF(N107&gt;=1,파라미터!$B$10,0)+IF(N107&gt;=2,파라미터!$B$11,0)+IF(N107&gt;=3,파라미터!$B$12,0)))+MAX(0,파라미터!$B$5*(IF(N107&gt;=1,파라미터!$B$10,0)+IF(N107&gt;=2,파라미터!$B$11,0)+IF(N107&gt;=3,파라미터!$B$12,0))-파라미터!$B$15))*파라미터!$B$16-N107*파라미터!$B$7-MAX(0,파라미터!$B$19+파라미터!$B$20-MIN(파라미터!$B$15,파라미터!$B$5*(IF(N107&gt;=1,파라미터!$B$10,0)+IF(N107&gt;=2,파라미터!$B$11,0)+IF(N107&gt;=3,파라미터!$B$12,0))))-IF(MOD($A107-1,파라미터!$B$22)=0,파라미터!$B$21,0)</f>
        <v/>
      </c>
      <c r="P107" s="15">
        <f>MAX(0,P106+O107)</f>
        <v/>
      </c>
      <c r="Q107" s="14">
        <f>IF(OR($A107&lt;파라미터!$B$6,MOD($A107,파라미터!$B$6)&gt;=20),0,INT((20-MOD($A107,파라미터!$B$6)-1)/파라미터!$B$6)+1)</f>
        <v/>
      </c>
      <c r="R107" s="15">
        <f>((Q107*파라미터!$B$5-파라미터!$B$5*(IF(Q107&gt;=1,파라미터!$B$10,0)+IF(Q107&gt;=2,파라미터!$B$11,0)+IF(Q107&gt;=3,파라미터!$B$12,0)))+MAX(0,파라미터!$B$5*(IF(Q107&gt;=1,파라미터!$B$10,0)+IF(Q107&gt;=2,파라미터!$B$11,0)+IF(Q107&gt;=3,파라미터!$B$12,0))-파라미터!$B$15))*파라미터!$B$16-Q107*파라미터!$B$7-MAX(0,파라미터!$B$19+파라미터!$B$20-MIN(파라미터!$B$15,파라미터!$B$5*(IF(Q107&gt;=1,파라미터!$B$10,0)+IF(Q107&gt;=2,파라미터!$B$11,0)+IF(Q107&gt;=3,파라미터!$B$12,0))))-IF(MOD($A107-1,파라미터!$B$22)=0,파라미터!$B$21,0)</f>
        <v/>
      </c>
      <c r="S107" s="15">
        <f>MAX(0,S106+R107)</f>
        <v/>
      </c>
    </row>
    <row r="108">
      <c r="A108" s="13" t="n">
        <v>104</v>
      </c>
      <c r="B108" s="14">
        <f>IF(OR($A108&lt;파라미터!$B$6,MOD($A108,파라미터!$B$6)&gt;=1),0,INT((1-MOD($A108,파라미터!$B$6)-1)/파라미터!$B$6)+1)</f>
        <v/>
      </c>
      <c r="C108" s="15">
        <f>((B108*파라미터!$B$5-파라미터!$B$5*(IF(B108&gt;=1,파라미터!$B$10,0)+IF(B108&gt;=2,파라미터!$B$11,0)+IF(B108&gt;=3,파라미터!$B$12,0)))+MAX(0,파라미터!$B$5*(IF(B108&gt;=1,파라미터!$B$10,0)+IF(B108&gt;=2,파라미터!$B$11,0)+IF(B108&gt;=3,파라미터!$B$12,0))-파라미터!$B$15))*파라미터!$B$16-B108*파라미터!$B$7-MAX(0,파라미터!$B$19+파라미터!$B$20-MIN(파라미터!$B$15,파라미터!$B$5*(IF(B108&gt;=1,파라미터!$B$10,0)+IF(B108&gt;=2,파라미터!$B$11,0)+IF(B108&gt;=3,파라미터!$B$12,0))))-IF(MOD($A108-1,파라미터!$B$22)=0,파라미터!$B$21,0)</f>
        <v/>
      </c>
      <c r="D108" s="15">
        <f>MAX(0,D107+C108)</f>
        <v/>
      </c>
      <c r="E108" s="14">
        <f>IF(OR($A108&lt;파라미터!$B$6,MOD($A108,파라미터!$B$6)&gt;=2),0,INT((2-MOD($A108,파라미터!$B$6)-1)/파라미터!$B$6)+1)</f>
        <v/>
      </c>
      <c r="F108" s="15">
        <f>((E108*파라미터!$B$5-파라미터!$B$5*(IF(E108&gt;=1,파라미터!$B$10,0)+IF(E108&gt;=2,파라미터!$B$11,0)+IF(E108&gt;=3,파라미터!$B$12,0)))+MAX(0,파라미터!$B$5*(IF(E108&gt;=1,파라미터!$B$10,0)+IF(E108&gt;=2,파라미터!$B$11,0)+IF(E108&gt;=3,파라미터!$B$12,0))-파라미터!$B$15))*파라미터!$B$16-E108*파라미터!$B$7-MAX(0,파라미터!$B$19+파라미터!$B$20-MIN(파라미터!$B$15,파라미터!$B$5*(IF(E108&gt;=1,파라미터!$B$10,0)+IF(E108&gt;=2,파라미터!$B$11,0)+IF(E108&gt;=3,파라미터!$B$12,0))))-IF(MOD($A108-1,파라미터!$B$22)=0,파라미터!$B$21,0)</f>
        <v/>
      </c>
      <c r="G108" s="15">
        <f>MAX(0,G107+F108)</f>
        <v/>
      </c>
      <c r="H108" s="14">
        <f>IF(OR($A108&lt;파라미터!$B$6,MOD($A108,파라미터!$B$6)&gt;=3),0,INT((3-MOD($A108,파라미터!$B$6)-1)/파라미터!$B$6)+1)</f>
        <v/>
      </c>
      <c r="I108" s="15">
        <f>((H108*파라미터!$B$5-파라미터!$B$5*(IF(H108&gt;=1,파라미터!$B$10,0)+IF(H108&gt;=2,파라미터!$B$11,0)+IF(H108&gt;=3,파라미터!$B$12,0)))+MAX(0,파라미터!$B$5*(IF(H108&gt;=1,파라미터!$B$10,0)+IF(H108&gt;=2,파라미터!$B$11,0)+IF(H108&gt;=3,파라미터!$B$12,0))-파라미터!$B$15))*파라미터!$B$16-H108*파라미터!$B$7-MAX(0,파라미터!$B$19+파라미터!$B$20-MIN(파라미터!$B$15,파라미터!$B$5*(IF(H108&gt;=1,파라미터!$B$10,0)+IF(H108&gt;=2,파라미터!$B$11,0)+IF(H108&gt;=3,파라미터!$B$12,0))))-IF(MOD($A108-1,파라미터!$B$22)=0,파라미터!$B$21,0)</f>
        <v/>
      </c>
      <c r="J108" s="15">
        <f>MAX(0,J107+I108)</f>
        <v/>
      </c>
      <c r="K108" s="14">
        <f>IF(OR($A108&lt;파라미터!$B$6,MOD($A108,파라미터!$B$6)&gt;=5),0,INT((5-MOD($A108,파라미터!$B$6)-1)/파라미터!$B$6)+1)</f>
        <v/>
      </c>
      <c r="L108" s="15">
        <f>((K108*파라미터!$B$5-파라미터!$B$5*(IF(K108&gt;=1,파라미터!$B$10,0)+IF(K108&gt;=2,파라미터!$B$11,0)+IF(K108&gt;=3,파라미터!$B$12,0)))+MAX(0,파라미터!$B$5*(IF(K108&gt;=1,파라미터!$B$10,0)+IF(K108&gt;=2,파라미터!$B$11,0)+IF(K108&gt;=3,파라미터!$B$12,0))-파라미터!$B$15))*파라미터!$B$16-K108*파라미터!$B$7-MAX(0,파라미터!$B$19+파라미터!$B$20-MIN(파라미터!$B$15,파라미터!$B$5*(IF(K108&gt;=1,파라미터!$B$10,0)+IF(K108&gt;=2,파라미터!$B$11,0)+IF(K108&gt;=3,파라미터!$B$12,0))))-IF(MOD($A108-1,파라미터!$B$22)=0,파라미터!$B$21,0)</f>
        <v/>
      </c>
      <c r="M108" s="15">
        <f>MAX(0,M107+L108)</f>
        <v/>
      </c>
      <c r="N108" s="14">
        <f>IF(OR($A108&lt;파라미터!$B$6,MOD($A108,파라미터!$B$6)&gt;=10),0,INT((10-MOD($A108,파라미터!$B$6)-1)/파라미터!$B$6)+1)</f>
        <v/>
      </c>
      <c r="O108" s="15">
        <f>((N108*파라미터!$B$5-파라미터!$B$5*(IF(N108&gt;=1,파라미터!$B$10,0)+IF(N108&gt;=2,파라미터!$B$11,0)+IF(N108&gt;=3,파라미터!$B$12,0)))+MAX(0,파라미터!$B$5*(IF(N108&gt;=1,파라미터!$B$10,0)+IF(N108&gt;=2,파라미터!$B$11,0)+IF(N108&gt;=3,파라미터!$B$12,0))-파라미터!$B$15))*파라미터!$B$16-N108*파라미터!$B$7-MAX(0,파라미터!$B$19+파라미터!$B$20-MIN(파라미터!$B$15,파라미터!$B$5*(IF(N108&gt;=1,파라미터!$B$10,0)+IF(N108&gt;=2,파라미터!$B$11,0)+IF(N108&gt;=3,파라미터!$B$12,0))))-IF(MOD($A108-1,파라미터!$B$22)=0,파라미터!$B$21,0)</f>
        <v/>
      </c>
      <c r="P108" s="15">
        <f>MAX(0,P107+O108)</f>
        <v/>
      </c>
      <c r="Q108" s="14">
        <f>IF(OR($A108&lt;파라미터!$B$6,MOD($A108,파라미터!$B$6)&gt;=20),0,INT((20-MOD($A108,파라미터!$B$6)-1)/파라미터!$B$6)+1)</f>
        <v/>
      </c>
      <c r="R108" s="15">
        <f>((Q108*파라미터!$B$5-파라미터!$B$5*(IF(Q108&gt;=1,파라미터!$B$10,0)+IF(Q108&gt;=2,파라미터!$B$11,0)+IF(Q108&gt;=3,파라미터!$B$12,0)))+MAX(0,파라미터!$B$5*(IF(Q108&gt;=1,파라미터!$B$10,0)+IF(Q108&gt;=2,파라미터!$B$11,0)+IF(Q108&gt;=3,파라미터!$B$12,0))-파라미터!$B$15))*파라미터!$B$16-Q108*파라미터!$B$7-MAX(0,파라미터!$B$19+파라미터!$B$20-MIN(파라미터!$B$15,파라미터!$B$5*(IF(Q108&gt;=1,파라미터!$B$10,0)+IF(Q108&gt;=2,파라미터!$B$11,0)+IF(Q108&gt;=3,파라미터!$B$12,0))))-IF(MOD($A108-1,파라미터!$B$22)=0,파라미터!$B$21,0)</f>
        <v/>
      </c>
      <c r="S108" s="15">
        <f>MAX(0,S107+R108)</f>
        <v/>
      </c>
    </row>
    <row r="109">
      <c r="A109" s="13" t="n">
        <v>105</v>
      </c>
      <c r="B109" s="14">
        <f>IF(OR($A109&lt;파라미터!$B$6,MOD($A109,파라미터!$B$6)&gt;=1),0,INT((1-MOD($A109,파라미터!$B$6)-1)/파라미터!$B$6)+1)</f>
        <v/>
      </c>
      <c r="C109" s="15">
        <f>((B109*파라미터!$B$5-파라미터!$B$5*(IF(B109&gt;=1,파라미터!$B$10,0)+IF(B109&gt;=2,파라미터!$B$11,0)+IF(B109&gt;=3,파라미터!$B$12,0)))+MAX(0,파라미터!$B$5*(IF(B109&gt;=1,파라미터!$B$10,0)+IF(B109&gt;=2,파라미터!$B$11,0)+IF(B109&gt;=3,파라미터!$B$12,0))-파라미터!$B$15))*파라미터!$B$16-B109*파라미터!$B$7-MAX(0,파라미터!$B$19+파라미터!$B$20-MIN(파라미터!$B$15,파라미터!$B$5*(IF(B109&gt;=1,파라미터!$B$10,0)+IF(B109&gt;=2,파라미터!$B$11,0)+IF(B109&gt;=3,파라미터!$B$12,0))))-IF(MOD($A109-1,파라미터!$B$22)=0,파라미터!$B$21,0)</f>
        <v/>
      </c>
      <c r="D109" s="15">
        <f>MAX(0,D108+C109)</f>
        <v/>
      </c>
      <c r="E109" s="14">
        <f>IF(OR($A109&lt;파라미터!$B$6,MOD($A109,파라미터!$B$6)&gt;=2),0,INT((2-MOD($A109,파라미터!$B$6)-1)/파라미터!$B$6)+1)</f>
        <v/>
      </c>
      <c r="F109" s="15">
        <f>((E109*파라미터!$B$5-파라미터!$B$5*(IF(E109&gt;=1,파라미터!$B$10,0)+IF(E109&gt;=2,파라미터!$B$11,0)+IF(E109&gt;=3,파라미터!$B$12,0)))+MAX(0,파라미터!$B$5*(IF(E109&gt;=1,파라미터!$B$10,0)+IF(E109&gt;=2,파라미터!$B$11,0)+IF(E109&gt;=3,파라미터!$B$12,0))-파라미터!$B$15))*파라미터!$B$16-E109*파라미터!$B$7-MAX(0,파라미터!$B$19+파라미터!$B$20-MIN(파라미터!$B$15,파라미터!$B$5*(IF(E109&gt;=1,파라미터!$B$10,0)+IF(E109&gt;=2,파라미터!$B$11,0)+IF(E109&gt;=3,파라미터!$B$12,0))))-IF(MOD($A109-1,파라미터!$B$22)=0,파라미터!$B$21,0)</f>
        <v/>
      </c>
      <c r="G109" s="15">
        <f>MAX(0,G108+F109)</f>
        <v/>
      </c>
      <c r="H109" s="14">
        <f>IF(OR($A109&lt;파라미터!$B$6,MOD($A109,파라미터!$B$6)&gt;=3),0,INT((3-MOD($A109,파라미터!$B$6)-1)/파라미터!$B$6)+1)</f>
        <v/>
      </c>
      <c r="I109" s="15">
        <f>((H109*파라미터!$B$5-파라미터!$B$5*(IF(H109&gt;=1,파라미터!$B$10,0)+IF(H109&gt;=2,파라미터!$B$11,0)+IF(H109&gt;=3,파라미터!$B$12,0)))+MAX(0,파라미터!$B$5*(IF(H109&gt;=1,파라미터!$B$10,0)+IF(H109&gt;=2,파라미터!$B$11,0)+IF(H109&gt;=3,파라미터!$B$12,0))-파라미터!$B$15))*파라미터!$B$16-H109*파라미터!$B$7-MAX(0,파라미터!$B$19+파라미터!$B$20-MIN(파라미터!$B$15,파라미터!$B$5*(IF(H109&gt;=1,파라미터!$B$10,0)+IF(H109&gt;=2,파라미터!$B$11,0)+IF(H109&gt;=3,파라미터!$B$12,0))))-IF(MOD($A109-1,파라미터!$B$22)=0,파라미터!$B$21,0)</f>
        <v/>
      </c>
      <c r="J109" s="15">
        <f>MAX(0,J108+I109)</f>
        <v/>
      </c>
      <c r="K109" s="14">
        <f>IF(OR($A109&lt;파라미터!$B$6,MOD($A109,파라미터!$B$6)&gt;=5),0,INT((5-MOD($A109,파라미터!$B$6)-1)/파라미터!$B$6)+1)</f>
        <v/>
      </c>
      <c r="L109" s="15">
        <f>((K109*파라미터!$B$5-파라미터!$B$5*(IF(K109&gt;=1,파라미터!$B$10,0)+IF(K109&gt;=2,파라미터!$B$11,0)+IF(K109&gt;=3,파라미터!$B$12,0)))+MAX(0,파라미터!$B$5*(IF(K109&gt;=1,파라미터!$B$10,0)+IF(K109&gt;=2,파라미터!$B$11,0)+IF(K109&gt;=3,파라미터!$B$12,0))-파라미터!$B$15))*파라미터!$B$16-K109*파라미터!$B$7-MAX(0,파라미터!$B$19+파라미터!$B$20-MIN(파라미터!$B$15,파라미터!$B$5*(IF(K109&gt;=1,파라미터!$B$10,0)+IF(K109&gt;=2,파라미터!$B$11,0)+IF(K109&gt;=3,파라미터!$B$12,0))))-IF(MOD($A109-1,파라미터!$B$22)=0,파라미터!$B$21,0)</f>
        <v/>
      </c>
      <c r="M109" s="15">
        <f>MAX(0,M108+L109)</f>
        <v/>
      </c>
      <c r="N109" s="14">
        <f>IF(OR($A109&lt;파라미터!$B$6,MOD($A109,파라미터!$B$6)&gt;=10),0,INT((10-MOD($A109,파라미터!$B$6)-1)/파라미터!$B$6)+1)</f>
        <v/>
      </c>
      <c r="O109" s="15">
        <f>((N109*파라미터!$B$5-파라미터!$B$5*(IF(N109&gt;=1,파라미터!$B$10,0)+IF(N109&gt;=2,파라미터!$B$11,0)+IF(N109&gt;=3,파라미터!$B$12,0)))+MAX(0,파라미터!$B$5*(IF(N109&gt;=1,파라미터!$B$10,0)+IF(N109&gt;=2,파라미터!$B$11,0)+IF(N109&gt;=3,파라미터!$B$12,0))-파라미터!$B$15))*파라미터!$B$16-N109*파라미터!$B$7-MAX(0,파라미터!$B$19+파라미터!$B$20-MIN(파라미터!$B$15,파라미터!$B$5*(IF(N109&gt;=1,파라미터!$B$10,0)+IF(N109&gt;=2,파라미터!$B$11,0)+IF(N109&gt;=3,파라미터!$B$12,0))))-IF(MOD($A109-1,파라미터!$B$22)=0,파라미터!$B$21,0)</f>
        <v/>
      </c>
      <c r="P109" s="15">
        <f>MAX(0,P108+O109)</f>
        <v/>
      </c>
      <c r="Q109" s="14">
        <f>IF(OR($A109&lt;파라미터!$B$6,MOD($A109,파라미터!$B$6)&gt;=20),0,INT((20-MOD($A109,파라미터!$B$6)-1)/파라미터!$B$6)+1)</f>
        <v/>
      </c>
      <c r="R109" s="15">
        <f>((Q109*파라미터!$B$5-파라미터!$B$5*(IF(Q109&gt;=1,파라미터!$B$10,0)+IF(Q109&gt;=2,파라미터!$B$11,0)+IF(Q109&gt;=3,파라미터!$B$12,0)))+MAX(0,파라미터!$B$5*(IF(Q109&gt;=1,파라미터!$B$10,0)+IF(Q109&gt;=2,파라미터!$B$11,0)+IF(Q109&gt;=3,파라미터!$B$12,0))-파라미터!$B$15))*파라미터!$B$16-Q109*파라미터!$B$7-MAX(0,파라미터!$B$19+파라미터!$B$20-MIN(파라미터!$B$15,파라미터!$B$5*(IF(Q109&gt;=1,파라미터!$B$10,0)+IF(Q109&gt;=2,파라미터!$B$11,0)+IF(Q109&gt;=3,파라미터!$B$12,0))))-IF(MOD($A109-1,파라미터!$B$22)=0,파라미터!$B$21,0)</f>
        <v/>
      </c>
      <c r="S109" s="15">
        <f>MAX(0,S108+R109)</f>
        <v/>
      </c>
    </row>
    <row r="110">
      <c r="A110" s="13" t="n">
        <v>106</v>
      </c>
      <c r="B110" s="14">
        <f>IF(OR($A110&lt;파라미터!$B$6,MOD($A110,파라미터!$B$6)&gt;=1),0,INT((1-MOD($A110,파라미터!$B$6)-1)/파라미터!$B$6)+1)</f>
        <v/>
      </c>
      <c r="C110" s="15">
        <f>((B110*파라미터!$B$5-파라미터!$B$5*(IF(B110&gt;=1,파라미터!$B$10,0)+IF(B110&gt;=2,파라미터!$B$11,0)+IF(B110&gt;=3,파라미터!$B$12,0)))+MAX(0,파라미터!$B$5*(IF(B110&gt;=1,파라미터!$B$10,0)+IF(B110&gt;=2,파라미터!$B$11,0)+IF(B110&gt;=3,파라미터!$B$12,0))-파라미터!$B$15))*파라미터!$B$16-B110*파라미터!$B$7-MAX(0,파라미터!$B$19+파라미터!$B$20-MIN(파라미터!$B$15,파라미터!$B$5*(IF(B110&gt;=1,파라미터!$B$10,0)+IF(B110&gt;=2,파라미터!$B$11,0)+IF(B110&gt;=3,파라미터!$B$12,0))))-IF(MOD($A110-1,파라미터!$B$22)=0,파라미터!$B$21,0)</f>
        <v/>
      </c>
      <c r="D110" s="15">
        <f>MAX(0,D109+C110)</f>
        <v/>
      </c>
      <c r="E110" s="14">
        <f>IF(OR($A110&lt;파라미터!$B$6,MOD($A110,파라미터!$B$6)&gt;=2),0,INT((2-MOD($A110,파라미터!$B$6)-1)/파라미터!$B$6)+1)</f>
        <v/>
      </c>
      <c r="F110" s="15">
        <f>((E110*파라미터!$B$5-파라미터!$B$5*(IF(E110&gt;=1,파라미터!$B$10,0)+IF(E110&gt;=2,파라미터!$B$11,0)+IF(E110&gt;=3,파라미터!$B$12,0)))+MAX(0,파라미터!$B$5*(IF(E110&gt;=1,파라미터!$B$10,0)+IF(E110&gt;=2,파라미터!$B$11,0)+IF(E110&gt;=3,파라미터!$B$12,0))-파라미터!$B$15))*파라미터!$B$16-E110*파라미터!$B$7-MAX(0,파라미터!$B$19+파라미터!$B$20-MIN(파라미터!$B$15,파라미터!$B$5*(IF(E110&gt;=1,파라미터!$B$10,0)+IF(E110&gt;=2,파라미터!$B$11,0)+IF(E110&gt;=3,파라미터!$B$12,0))))-IF(MOD($A110-1,파라미터!$B$22)=0,파라미터!$B$21,0)</f>
        <v/>
      </c>
      <c r="G110" s="15">
        <f>MAX(0,G109+F110)</f>
        <v/>
      </c>
      <c r="H110" s="14">
        <f>IF(OR($A110&lt;파라미터!$B$6,MOD($A110,파라미터!$B$6)&gt;=3),0,INT((3-MOD($A110,파라미터!$B$6)-1)/파라미터!$B$6)+1)</f>
        <v/>
      </c>
      <c r="I110" s="15">
        <f>((H110*파라미터!$B$5-파라미터!$B$5*(IF(H110&gt;=1,파라미터!$B$10,0)+IF(H110&gt;=2,파라미터!$B$11,0)+IF(H110&gt;=3,파라미터!$B$12,0)))+MAX(0,파라미터!$B$5*(IF(H110&gt;=1,파라미터!$B$10,0)+IF(H110&gt;=2,파라미터!$B$11,0)+IF(H110&gt;=3,파라미터!$B$12,0))-파라미터!$B$15))*파라미터!$B$16-H110*파라미터!$B$7-MAX(0,파라미터!$B$19+파라미터!$B$20-MIN(파라미터!$B$15,파라미터!$B$5*(IF(H110&gt;=1,파라미터!$B$10,0)+IF(H110&gt;=2,파라미터!$B$11,0)+IF(H110&gt;=3,파라미터!$B$12,0))))-IF(MOD($A110-1,파라미터!$B$22)=0,파라미터!$B$21,0)</f>
        <v/>
      </c>
      <c r="J110" s="15">
        <f>MAX(0,J109+I110)</f>
        <v/>
      </c>
      <c r="K110" s="14">
        <f>IF(OR($A110&lt;파라미터!$B$6,MOD($A110,파라미터!$B$6)&gt;=5),0,INT((5-MOD($A110,파라미터!$B$6)-1)/파라미터!$B$6)+1)</f>
        <v/>
      </c>
      <c r="L110" s="15">
        <f>((K110*파라미터!$B$5-파라미터!$B$5*(IF(K110&gt;=1,파라미터!$B$10,0)+IF(K110&gt;=2,파라미터!$B$11,0)+IF(K110&gt;=3,파라미터!$B$12,0)))+MAX(0,파라미터!$B$5*(IF(K110&gt;=1,파라미터!$B$10,0)+IF(K110&gt;=2,파라미터!$B$11,0)+IF(K110&gt;=3,파라미터!$B$12,0))-파라미터!$B$15))*파라미터!$B$16-K110*파라미터!$B$7-MAX(0,파라미터!$B$19+파라미터!$B$20-MIN(파라미터!$B$15,파라미터!$B$5*(IF(K110&gt;=1,파라미터!$B$10,0)+IF(K110&gt;=2,파라미터!$B$11,0)+IF(K110&gt;=3,파라미터!$B$12,0))))-IF(MOD($A110-1,파라미터!$B$22)=0,파라미터!$B$21,0)</f>
        <v/>
      </c>
      <c r="M110" s="15">
        <f>MAX(0,M109+L110)</f>
        <v/>
      </c>
      <c r="N110" s="14">
        <f>IF(OR($A110&lt;파라미터!$B$6,MOD($A110,파라미터!$B$6)&gt;=10),0,INT((10-MOD($A110,파라미터!$B$6)-1)/파라미터!$B$6)+1)</f>
        <v/>
      </c>
      <c r="O110" s="15">
        <f>((N110*파라미터!$B$5-파라미터!$B$5*(IF(N110&gt;=1,파라미터!$B$10,0)+IF(N110&gt;=2,파라미터!$B$11,0)+IF(N110&gt;=3,파라미터!$B$12,0)))+MAX(0,파라미터!$B$5*(IF(N110&gt;=1,파라미터!$B$10,0)+IF(N110&gt;=2,파라미터!$B$11,0)+IF(N110&gt;=3,파라미터!$B$12,0))-파라미터!$B$15))*파라미터!$B$16-N110*파라미터!$B$7-MAX(0,파라미터!$B$19+파라미터!$B$20-MIN(파라미터!$B$15,파라미터!$B$5*(IF(N110&gt;=1,파라미터!$B$10,0)+IF(N110&gt;=2,파라미터!$B$11,0)+IF(N110&gt;=3,파라미터!$B$12,0))))-IF(MOD($A110-1,파라미터!$B$22)=0,파라미터!$B$21,0)</f>
        <v/>
      </c>
      <c r="P110" s="15">
        <f>MAX(0,P109+O110)</f>
        <v/>
      </c>
      <c r="Q110" s="14">
        <f>IF(OR($A110&lt;파라미터!$B$6,MOD($A110,파라미터!$B$6)&gt;=20),0,INT((20-MOD($A110,파라미터!$B$6)-1)/파라미터!$B$6)+1)</f>
        <v/>
      </c>
      <c r="R110" s="15">
        <f>((Q110*파라미터!$B$5-파라미터!$B$5*(IF(Q110&gt;=1,파라미터!$B$10,0)+IF(Q110&gt;=2,파라미터!$B$11,0)+IF(Q110&gt;=3,파라미터!$B$12,0)))+MAX(0,파라미터!$B$5*(IF(Q110&gt;=1,파라미터!$B$10,0)+IF(Q110&gt;=2,파라미터!$B$11,0)+IF(Q110&gt;=3,파라미터!$B$12,0))-파라미터!$B$15))*파라미터!$B$16-Q110*파라미터!$B$7-MAX(0,파라미터!$B$19+파라미터!$B$20-MIN(파라미터!$B$15,파라미터!$B$5*(IF(Q110&gt;=1,파라미터!$B$10,0)+IF(Q110&gt;=2,파라미터!$B$11,0)+IF(Q110&gt;=3,파라미터!$B$12,0))))-IF(MOD($A110-1,파라미터!$B$22)=0,파라미터!$B$21,0)</f>
        <v/>
      </c>
      <c r="S110" s="15">
        <f>MAX(0,S109+R110)</f>
        <v/>
      </c>
    </row>
    <row r="111">
      <c r="A111" s="13" t="n">
        <v>107</v>
      </c>
      <c r="B111" s="14">
        <f>IF(OR($A111&lt;파라미터!$B$6,MOD($A111,파라미터!$B$6)&gt;=1),0,INT((1-MOD($A111,파라미터!$B$6)-1)/파라미터!$B$6)+1)</f>
        <v/>
      </c>
      <c r="C111" s="15">
        <f>((B111*파라미터!$B$5-파라미터!$B$5*(IF(B111&gt;=1,파라미터!$B$10,0)+IF(B111&gt;=2,파라미터!$B$11,0)+IF(B111&gt;=3,파라미터!$B$12,0)))+MAX(0,파라미터!$B$5*(IF(B111&gt;=1,파라미터!$B$10,0)+IF(B111&gt;=2,파라미터!$B$11,0)+IF(B111&gt;=3,파라미터!$B$12,0))-파라미터!$B$15))*파라미터!$B$16-B111*파라미터!$B$7-MAX(0,파라미터!$B$19+파라미터!$B$20-MIN(파라미터!$B$15,파라미터!$B$5*(IF(B111&gt;=1,파라미터!$B$10,0)+IF(B111&gt;=2,파라미터!$B$11,0)+IF(B111&gt;=3,파라미터!$B$12,0))))-IF(MOD($A111-1,파라미터!$B$22)=0,파라미터!$B$21,0)</f>
        <v/>
      </c>
      <c r="D111" s="15">
        <f>MAX(0,D110+C111)</f>
        <v/>
      </c>
      <c r="E111" s="14">
        <f>IF(OR($A111&lt;파라미터!$B$6,MOD($A111,파라미터!$B$6)&gt;=2),0,INT((2-MOD($A111,파라미터!$B$6)-1)/파라미터!$B$6)+1)</f>
        <v/>
      </c>
      <c r="F111" s="15">
        <f>((E111*파라미터!$B$5-파라미터!$B$5*(IF(E111&gt;=1,파라미터!$B$10,0)+IF(E111&gt;=2,파라미터!$B$11,0)+IF(E111&gt;=3,파라미터!$B$12,0)))+MAX(0,파라미터!$B$5*(IF(E111&gt;=1,파라미터!$B$10,0)+IF(E111&gt;=2,파라미터!$B$11,0)+IF(E111&gt;=3,파라미터!$B$12,0))-파라미터!$B$15))*파라미터!$B$16-E111*파라미터!$B$7-MAX(0,파라미터!$B$19+파라미터!$B$20-MIN(파라미터!$B$15,파라미터!$B$5*(IF(E111&gt;=1,파라미터!$B$10,0)+IF(E111&gt;=2,파라미터!$B$11,0)+IF(E111&gt;=3,파라미터!$B$12,0))))-IF(MOD($A111-1,파라미터!$B$22)=0,파라미터!$B$21,0)</f>
        <v/>
      </c>
      <c r="G111" s="15">
        <f>MAX(0,G110+F111)</f>
        <v/>
      </c>
      <c r="H111" s="14">
        <f>IF(OR($A111&lt;파라미터!$B$6,MOD($A111,파라미터!$B$6)&gt;=3),0,INT((3-MOD($A111,파라미터!$B$6)-1)/파라미터!$B$6)+1)</f>
        <v/>
      </c>
      <c r="I111" s="15">
        <f>((H111*파라미터!$B$5-파라미터!$B$5*(IF(H111&gt;=1,파라미터!$B$10,0)+IF(H111&gt;=2,파라미터!$B$11,0)+IF(H111&gt;=3,파라미터!$B$12,0)))+MAX(0,파라미터!$B$5*(IF(H111&gt;=1,파라미터!$B$10,0)+IF(H111&gt;=2,파라미터!$B$11,0)+IF(H111&gt;=3,파라미터!$B$12,0))-파라미터!$B$15))*파라미터!$B$16-H111*파라미터!$B$7-MAX(0,파라미터!$B$19+파라미터!$B$20-MIN(파라미터!$B$15,파라미터!$B$5*(IF(H111&gt;=1,파라미터!$B$10,0)+IF(H111&gt;=2,파라미터!$B$11,0)+IF(H111&gt;=3,파라미터!$B$12,0))))-IF(MOD($A111-1,파라미터!$B$22)=0,파라미터!$B$21,0)</f>
        <v/>
      </c>
      <c r="J111" s="15">
        <f>MAX(0,J110+I111)</f>
        <v/>
      </c>
      <c r="K111" s="14">
        <f>IF(OR($A111&lt;파라미터!$B$6,MOD($A111,파라미터!$B$6)&gt;=5),0,INT((5-MOD($A111,파라미터!$B$6)-1)/파라미터!$B$6)+1)</f>
        <v/>
      </c>
      <c r="L111" s="15">
        <f>((K111*파라미터!$B$5-파라미터!$B$5*(IF(K111&gt;=1,파라미터!$B$10,0)+IF(K111&gt;=2,파라미터!$B$11,0)+IF(K111&gt;=3,파라미터!$B$12,0)))+MAX(0,파라미터!$B$5*(IF(K111&gt;=1,파라미터!$B$10,0)+IF(K111&gt;=2,파라미터!$B$11,0)+IF(K111&gt;=3,파라미터!$B$12,0))-파라미터!$B$15))*파라미터!$B$16-K111*파라미터!$B$7-MAX(0,파라미터!$B$19+파라미터!$B$20-MIN(파라미터!$B$15,파라미터!$B$5*(IF(K111&gt;=1,파라미터!$B$10,0)+IF(K111&gt;=2,파라미터!$B$11,0)+IF(K111&gt;=3,파라미터!$B$12,0))))-IF(MOD($A111-1,파라미터!$B$22)=0,파라미터!$B$21,0)</f>
        <v/>
      </c>
      <c r="M111" s="15">
        <f>MAX(0,M110+L111)</f>
        <v/>
      </c>
      <c r="N111" s="14">
        <f>IF(OR($A111&lt;파라미터!$B$6,MOD($A111,파라미터!$B$6)&gt;=10),0,INT((10-MOD($A111,파라미터!$B$6)-1)/파라미터!$B$6)+1)</f>
        <v/>
      </c>
      <c r="O111" s="15">
        <f>((N111*파라미터!$B$5-파라미터!$B$5*(IF(N111&gt;=1,파라미터!$B$10,0)+IF(N111&gt;=2,파라미터!$B$11,0)+IF(N111&gt;=3,파라미터!$B$12,0)))+MAX(0,파라미터!$B$5*(IF(N111&gt;=1,파라미터!$B$10,0)+IF(N111&gt;=2,파라미터!$B$11,0)+IF(N111&gt;=3,파라미터!$B$12,0))-파라미터!$B$15))*파라미터!$B$16-N111*파라미터!$B$7-MAX(0,파라미터!$B$19+파라미터!$B$20-MIN(파라미터!$B$15,파라미터!$B$5*(IF(N111&gt;=1,파라미터!$B$10,0)+IF(N111&gt;=2,파라미터!$B$11,0)+IF(N111&gt;=3,파라미터!$B$12,0))))-IF(MOD($A111-1,파라미터!$B$22)=0,파라미터!$B$21,0)</f>
        <v/>
      </c>
      <c r="P111" s="15">
        <f>MAX(0,P110+O111)</f>
        <v/>
      </c>
      <c r="Q111" s="14">
        <f>IF(OR($A111&lt;파라미터!$B$6,MOD($A111,파라미터!$B$6)&gt;=20),0,INT((20-MOD($A111,파라미터!$B$6)-1)/파라미터!$B$6)+1)</f>
        <v/>
      </c>
      <c r="R111" s="15">
        <f>((Q111*파라미터!$B$5-파라미터!$B$5*(IF(Q111&gt;=1,파라미터!$B$10,0)+IF(Q111&gt;=2,파라미터!$B$11,0)+IF(Q111&gt;=3,파라미터!$B$12,0)))+MAX(0,파라미터!$B$5*(IF(Q111&gt;=1,파라미터!$B$10,0)+IF(Q111&gt;=2,파라미터!$B$11,0)+IF(Q111&gt;=3,파라미터!$B$12,0))-파라미터!$B$15))*파라미터!$B$16-Q111*파라미터!$B$7-MAX(0,파라미터!$B$19+파라미터!$B$20-MIN(파라미터!$B$15,파라미터!$B$5*(IF(Q111&gt;=1,파라미터!$B$10,0)+IF(Q111&gt;=2,파라미터!$B$11,0)+IF(Q111&gt;=3,파라미터!$B$12,0))))-IF(MOD($A111-1,파라미터!$B$22)=0,파라미터!$B$21,0)</f>
        <v/>
      </c>
      <c r="S111" s="15">
        <f>MAX(0,S110+R111)</f>
        <v/>
      </c>
    </row>
    <row r="112">
      <c r="A112" s="13" t="n">
        <v>108</v>
      </c>
      <c r="B112" s="14">
        <f>IF(OR($A112&lt;파라미터!$B$6,MOD($A112,파라미터!$B$6)&gt;=1),0,INT((1-MOD($A112,파라미터!$B$6)-1)/파라미터!$B$6)+1)</f>
        <v/>
      </c>
      <c r="C112" s="15">
        <f>((B112*파라미터!$B$5-파라미터!$B$5*(IF(B112&gt;=1,파라미터!$B$10,0)+IF(B112&gt;=2,파라미터!$B$11,0)+IF(B112&gt;=3,파라미터!$B$12,0)))+MAX(0,파라미터!$B$5*(IF(B112&gt;=1,파라미터!$B$10,0)+IF(B112&gt;=2,파라미터!$B$11,0)+IF(B112&gt;=3,파라미터!$B$12,0))-파라미터!$B$15))*파라미터!$B$16-B112*파라미터!$B$7-MAX(0,파라미터!$B$19+파라미터!$B$20-MIN(파라미터!$B$15,파라미터!$B$5*(IF(B112&gt;=1,파라미터!$B$10,0)+IF(B112&gt;=2,파라미터!$B$11,0)+IF(B112&gt;=3,파라미터!$B$12,0))))-IF(MOD($A112-1,파라미터!$B$22)=0,파라미터!$B$21,0)</f>
        <v/>
      </c>
      <c r="D112" s="15">
        <f>MAX(0,D111+C112)</f>
        <v/>
      </c>
      <c r="E112" s="14">
        <f>IF(OR($A112&lt;파라미터!$B$6,MOD($A112,파라미터!$B$6)&gt;=2),0,INT((2-MOD($A112,파라미터!$B$6)-1)/파라미터!$B$6)+1)</f>
        <v/>
      </c>
      <c r="F112" s="15">
        <f>((E112*파라미터!$B$5-파라미터!$B$5*(IF(E112&gt;=1,파라미터!$B$10,0)+IF(E112&gt;=2,파라미터!$B$11,0)+IF(E112&gt;=3,파라미터!$B$12,0)))+MAX(0,파라미터!$B$5*(IF(E112&gt;=1,파라미터!$B$10,0)+IF(E112&gt;=2,파라미터!$B$11,0)+IF(E112&gt;=3,파라미터!$B$12,0))-파라미터!$B$15))*파라미터!$B$16-E112*파라미터!$B$7-MAX(0,파라미터!$B$19+파라미터!$B$20-MIN(파라미터!$B$15,파라미터!$B$5*(IF(E112&gt;=1,파라미터!$B$10,0)+IF(E112&gt;=2,파라미터!$B$11,0)+IF(E112&gt;=3,파라미터!$B$12,0))))-IF(MOD($A112-1,파라미터!$B$22)=0,파라미터!$B$21,0)</f>
        <v/>
      </c>
      <c r="G112" s="15">
        <f>MAX(0,G111+F112)</f>
        <v/>
      </c>
      <c r="H112" s="14">
        <f>IF(OR($A112&lt;파라미터!$B$6,MOD($A112,파라미터!$B$6)&gt;=3),0,INT((3-MOD($A112,파라미터!$B$6)-1)/파라미터!$B$6)+1)</f>
        <v/>
      </c>
      <c r="I112" s="15">
        <f>((H112*파라미터!$B$5-파라미터!$B$5*(IF(H112&gt;=1,파라미터!$B$10,0)+IF(H112&gt;=2,파라미터!$B$11,0)+IF(H112&gt;=3,파라미터!$B$12,0)))+MAX(0,파라미터!$B$5*(IF(H112&gt;=1,파라미터!$B$10,0)+IF(H112&gt;=2,파라미터!$B$11,0)+IF(H112&gt;=3,파라미터!$B$12,0))-파라미터!$B$15))*파라미터!$B$16-H112*파라미터!$B$7-MAX(0,파라미터!$B$19+파라미터!$B$20-MIN(파라미터!$B$15,파라미터!$B$5*(IF(H112&gt;=1,파라미터!$B$10,0)+IF(H112&gt;=2,파라미터!$B$11,0)+IF(H112&gt;=3,파라미터!$B$12,0))))-IF(MOD($A112-1,파라미터!$B$22)=0,파라미터!$B$21,0)</f>
        <v/>
      </c>
      <c r="J112" s="15">
        <f>MAX(0,J111+I112)</f>
        <v/>
      </c>
      <c r="K112" s="14">
        <f>IF(OR($A112&lt;파라미터!$B$6,MOD($A112,파라미터!$B$6)&gt;=5),0,INT((5-MOD($A112,파라미터!$B$6)-1)/파라미터!$B$6)+1)</f>
        <v/>
      </c>
      <c r="L112" s="15">
        <f>((K112*파라미터!$B$5-파라미터!$B$5*(IF(K112&gt;=1,파라미터!$B$10,0)+IF(K112&gt;=2,파라미터!$B$11,0)+IF(K112&gt;=3,파라미터!$B$12,0)))+MAX(0,파라미터!$B$5*(IF(K112&gt;=1,파라미터!$B$10,0)+IF(K112&gt;=2,파라미터!$B$11,0)+IF(K112&gt;=3,파라미터!$B$12,0))-파라미터!$B$15))*파라미터!$B$16-K112*파라미터!$B$7-MAX(0,파라미터!$B$19+파라미터!$B$20-MIN(파라미터!$B$15,파라미터!$B$5*(IF(K112&gt;=1,파라미터!$B$10,0)+IF(K112&gt;=2,파라미터!$B$11,0)+IF(K112&gt;=3,파라미터!$B$12,0))))-IF(MOD($A112-1,파라미터!$B$22)=0,파라미터!$B$21,0)</f>
        <v/>
      </c>
      <c r="M112" s="15">
        <f>MAX(0,M111+L112)</f>
        <v/>
      </c>
      <c r="N112" s="14">
        <f>IF(OR($A112&lt;파라미터!$B$6,MOD($A112,파라미터!$B$6)&gt;=10),0,INT((10-MOD($A112,파라미터!$B$6)-1)/파라미터!$B$6)+1)</f>
        <v/>
      </c>
      <c r="O112" s="15">
        <f>((N112*파라미터!$B$5-파라미터!$B$5*(IF(N112&gt;=1,파라미터!$B$10,0)+IF(N112&gt;=2,파라미터!$B$11,0)+IF(N112&gt;=3,파라미터!$B$12,0)))+MAX(0,파라미터!$B$5*(IF(N112&gt;=1,파라미터!$B$10,0)+IF(N112&gt;=2,파라미터!$B$11,0)+IF(N112&gt;=3,파라미터!$B$12,0))-파라미터!$B$15))*파라미터!$B$16-N112*파라미터!$B$7-MAX(0,파라미터!$B$19+파라미터!$B$20-MIN(파라미터!$B$15,파라미터!$B$5*(IF(N112&gt;=1,파라미터!$B$10,0)+IF(N112&gt;=2,파라미터!$B$11,0)+IF(N112&gt;=3,파라미터!$B$12,0))))-IF(MOD($A112-1,파라미터!$B$22)=0,파라미터!$B$21,0)</f>
        <v/>
      </c>
      <c r="P112" s="15">
        <f>MAX(0,P111+O112)</f>
        <v/>
      </c>
      <c r="Q112" s="14">
        <f>IF(OR($A112&lt;파라미터!$B$6,MOD($A112,파라미터!$B$6)&gt;=20),0,INT((20-MOD($A112,파라미터!$B$6)-1)/파라미터!$B$6)+1)</f>
        <v/>
      </c>
      <c r="R112" s="15">
        <f>((Q112*파라미터!$B$5-파라미터!$B$5*(IF(Q112&gt;=1,파라미터!$B$10,0)+IF(Q112&gt;=2,파라미터!$B$11,0)+IF(Q112&gt;=3,파라미터!$B$12,0)))+MAX(0,파라미터!$B$5*(IF(Q112&gt;=1,파라미터!$B$10,0)+IF(Q112&gt;=2,파라미터!$B$11,0)+IF(Q112&gt;=3,파라미터!$B$12,0))-파라미터!$B$15))*파라미터!$B$16-Q112*파라미터!$B$7-MAX(0,파라미터!$B$19+파라미터!$B$20-MIN(파라미터!$B$15,파라미터!$B$5*(IF(Q112&gt;=1,파라미터!$B$10,0)+IF(Q112&gt;=2,파라미터!$B$11,0)+IF(Q112&gt;=3,파라미터!$B$12,0))))-IF(MOD($A112-1,파라미터!$B$22)=0,파라미터!$B$21,0)</f>
        <v/>
      </c>
      <c r="S112" s="15">
        <f>MAX(0,S111+R112)</f>
        <v/>
      </c>
    </row>
    <row r="113">
      <c r="A113" s="13" t="n">
        <v>109</v>
      </c>
      <c r="B113" s="14">
        <f>IF(OR($A113&lt;파라미터!$B$6,MOD($A113,파라미터!$B$6)&gt;=1),0,INT((1-MOD($A113,파라미터!$B$6)-1)/파라미터!$B$6)+1)</f>
        <v/>
      </c>
      <c r="C113" s="15">
        <f>((B113*파라미터!$B$5-파라미터!$B$5*(IF(B113&gt;=1,파라미터!$B$10,0)+IF(B113&gt;=2,파라미터!$B$11,0)+IF(B113&gt;=3,파라미터!$B$12,0)))+MAX(0,파라미터!$B$5*(IF(B113&gt;=1,파라미터!$B$10,0)+IF(B113&gt;=2,파라미터!$B$11,0)+IF(B113&gt;=3,파라미터!$B$12,0))-파라미터!$B$15))*파라미터!$B$16-B113*파라미터!$B$7-MAX(0,파라미터!$B$19+파라미터!$B$20-MIN(파라미터!$B$15,파라미터!$B$5*(IF(B113&gt;=1,파라미터!$B$10,0)+IF(B113&gt;=2,파라미터!$B$11,0)+IF(B113&gt;=3,파라미터!$B$12,0))))-IF(MOD($A113-1,파라미터!$B$22)=0,파라미터!$B$21,0)</f>
        <v/>
      </c>
      <c r="D113" s="15">
        <f>MAX(0,D112+C113)</f>
        <v/>
      </c>
      <c r="E113" s="14">
        <f>IF(OR($A113&lt;파라미터!$B$6,MOD($A113,파라미터!$B$6)&gt;=2),0,INT((2-MOD($A113,파라미터!$B$6)-1)/파라미터!$B$6)+1)</f>
        <v/>
      </c>
      <c r="F113" s="15">
        <f>((E113*파라미터!$B$5-파라미터!$B$5*(IF(E113&gt;=1,파라미터!$B$10,0)+IF(E113&gt;=2,파라미터!$B$11,0)+IF(E113&gt;=3,파라미터!$B$12,0)))+MAX(0,파라미터!$B$5*(IF(E113&gt;=1,파라미터!$B$10,0)+IF(E113&gt;=2,파라미터!$B$11,0)+IF(E113&gt;=3,파라미터!$B$12,0))-파라미터!$B$15))*파라미터!$B$16-E113*파라미터!$B$7-MAX(0,파라미터!$B$19+파라미터!$B$20-MIN(파라미터!$B$15,파라미터!$B$5*(IF(E113&gt;=1,파라미터!$B$10,0)+IF(E113&gt;=2,파라미터!$B$11,0)+IF(E113&gt;=3,파라미터!$B$12,0))))-IF(MOD($A113-1,파라미터!$B$22)=0,파라미터!$B$21,0)</f>
        <v/>
      </c>
      <c r="G113" s="15">
        <f>MAX(0,G112+F113)</f>
        <v/>
      </c>
      <c r="H113" s="14">
        <f>IF(OR($A113&lt;파라미터!$B$6,MOD($A113,파라미터!$B$6)&gt;=3),0,INT((3-MOD($A113,파라미터!$B$6)-1)/파라미터!$B$6)+1)</f>
        <v/>
      </c>
      <c r="I113" s="15">
        <f>((H113*파라미터!$B$5-파라미터!$B$5*(IF(H113&gt;=1,파라미터!$B$10,0)+IF(H113&gt;=2,파라미터!$B$11,0)+IF(H113&gt;=3,파라미터!$B$12,0)))+MAX(0,파라미터!$B$5*(IF(H113&gt;=1,파라미터!$B$10,0)+IF(H113&gt;=2,파라미터!$B$11,0)+IF(H113&gt;=3,파라미터!$B$12,0))-파라미터!$B$15))*파라미터!$B$16-H113*파라미터!$B$7-MAX(0,파라미터!$B$19+파라미터!$B$20-MIN(파라미터!$B$15,파라미터!$B$5*(IF(H113&gt;=1,파라미터!$B$10,0)+IF(H113&gt;=2,파라미터!$B$11,0)+IF(H113&gt;=3,파라미터!$B$12,0))))-IF(MOD($A113-1,파라미터!$B$22)=0,파라미터!$B$21,0)</f>
        <v/>
      </c>
      <c r="J113" s="15">
        <f>MAX(0,J112+I113)</f>
        <v/>
      </c>
      <c r="K113" s="14">
        <f>IF(OR($A113&lt;파라미터!$B$6,MOD($A113,파라미터!$B$6)&gt;=5),0,INT((5-MOD($A113,파라미터!$B$6)-1)/파라미터!$B$6)+1)</f>
        <v/>
      </c>
      <c r="L113" s="15">
        <f>((K113*파라미터!$B$5-파라미터!$B$5*(IF(K113&gt;=1,파라미터!$B$10,0)+IF(K113&gt;=2,파라미터!$B$11,0)+IF(K113&gt;=3,파라미터!$B$12,0)))+MAX(0,파라미터!$B$5*(IF(K113&gt;=1,파라미터!$B$10,0)+IF(K113&gt;=2,파라미터!$B$11,0)+IF(K113&gt;=3,파라미터!$B$12,0))-파라미터!$B$15))*파라미터!$B$16-K113*파라미터!$B$7-MAX(0,파라미터!$B$19+파라미터!$B$20-MIN(파라미터!$B$15,파라미터!$B$5*(IF(K113&gt;=1,파라미터!$B$10,0)+IF(K113&gt;=2,파라미터!$B$11,0)+IF(K113&gt;=3,파라미터!$B$12,0))))-IF(MOD($A113-1,파라미터!$B$22)=0,파라미터!$B$21,0)</f>
        <v/>
      </c>
      <c r="M113" s="15">
        <f>MAX(0,M112+L113)</f>
        <v/>
      </c>
      <c r="N113" s="14">
        <f>IF(OR($A113&lt;파라미터!$B$6,MOD($A113,파라미터!$B$6)&gt;=10),0,INT((10-MOD($A113,파라미터!$B$6)-1)/파라미터!$B$6)+1)</f>
        <v/>
      </c>
      <c r="O113" s="15">
        <f>((N113*파라미터!$B$5-파라미터!$B$5*(IF(N113&gt;=1,파라미터!$B$10,0)+IF(N113&gt;=2,파라미터!$B$11,0)+IF(N113&gt;=3,파라미터!$B$12,0)))+MAX(0,파라미터!$B$5*(IF(N113&gt;=1,파라미터!$B$10,0)+IF(N113&gt;=2,파라미터!$B$11,0)+IF(N113&gt;=3,파라미터!$B$12,0))-파라미터!$B$15))*파라미터!$B$16-N113*파라미터!$B$7-MAX(0,파라미터!$B$19+파라미터!$B$20-MIN(파라미터!$B$15,파라미터!$B$5*(IF(N113&gt;=1,파라미터!$B$10,0)+IF(N113&gt;=2,파라미터!$B$11,0)+IF(N113&gt;=3,파라미터!$B$12,0))))-IF(MOD($A113-1,파라미터!$B$22)=0,파라미터!$B$21,0)</f>
        <v/>
      </c>
      <c r="P113" s="15">
        <f>MAX(0,P112+O113)</f>
        <v/>
      </c>
      <c r="Q113" s="14">
        <f>IF(OR($A113&lt;파라미터!$B$6,MOD($A113,파라미터!$B$6)&gt;=20),0,INT((20-MOD($A113,파라미터!$B$6)-1)/파라미터!$B$6)+1)</f>
        <v/>
      </c>
      <c r="R113" s="15">
        <f>((Q113*파라미터!$B$5-파라미터!$B$5*(IF(Q113&gt;=1,파라미터!$B$10,0)+IF(Q113&gt;=2,파라미터!$B$11,0)+IF(Q113&gt;=3,파라미터!$B$12,0)))+MAX(0,파라미터!$B$5*(IF(Q113&gt;=1,파라미터!$B$10,0)+IF(Q113&gt;=2,파라미터!$B$11,0)+IF(Q113&gt;=3,파라미터!$B$12,0))-파라미터!$B$15))*파라미터!$B$16-Q113*파라미터!$B$7-MAX(0,파라미터!$B$19+파라미터!$B$20-MIN(파라미터!$B$15,파라미터!$B$5*(IF(Q113&gt;=1,파라미터!$B$10,0)+IF(Q113&gt;=2,파라미터!$B$11,0)+IF(Q113&gt;=3,파라미터!$B$12,0))))-IF(MOD($A113-1,파라미터!$B$22)=0,파라미터!$B$21,0)</f>
        <v/>
      </c>
      <c r="S113" s="15">
        <f>MAX(0,S112+R113)</f>
        <v/>
      </c>
    </row>
    <row r="114">
      <c r="A114" s="13" t="n">
        <v>110</v>
      </c>
      <c r="B114" s="14">
        <f>IF(OR($A114&lt;파라미터!$B$6,MOD($A114,파라미터!$B$6)&gt;=1),0,INT((1-MOD($A114,파라미터!$B$6)-1)/파라미터!$B$6)+1)</f>
        <v/>
      </c>
      <c r="C114" s="15">
        <f>((B114*파라미터!$B$5-파라미터!$B$5*(IF(B114&gt;=1,파라미터!$B$10,0)+IF(B114&gt;=2,파라미터!$B$11,0)+IF(B114&gt;=3,파라미터!$B$12,0)))+MAX(0,파라미터!$B$5*(IF(B114&gt;=1,파라미터!$B$10,0)+IF(B114&gt;=2,파라미터!$B$11,0)+IF(B114&gt;=3,파라미터!$B$12,0))-파라미터!$B$15))*파라미터!$B$16-B114*파라미터!$B$7-MAX(0,파라미터!$B$19+파라미터!$B$20-MIN(파라미터!$B$15,파라미터!$B$5*(IF(B114&gt;=1,파라미터!$B$10,0)+IF(B114&gt;=2,파라미터!$B$11,0)+IF(B114&gt;=3,파라미터!$B$12,0))))-IF(MOD($A114-1,파라미터!$B$22)=0,파라미터!$B$21,0)</f>
        <v/>
      </c>
      <c r="D114" s="15">
        <f>MAX(0,D113+C114)</f>
        <v/>
      </c>
      <c r="E114" s="14">
        <f>IF(OR($A114&lt;파라미터!$B$6,MOD($A114,파라미터!$B$6)&gt;=2),0,INT((2-MOD($A114,파라미터!$B$6)-1)/파라미터!$B$6)+1)</f>
        <v/>
      </c>
      <c r="F114" s="15">
        <f>((E114*파라미터!$B$5-파라미터!$B$5*(IF(E114&gt;=1,파라미터!$B$10,0)+IF(E114&gt;=2,파라미터!$B$11,0)+IF(E114&gt;=3,파라미터!$B$12,0)))+MAX(0,파라미터!$B$5*(IF(E114&gt;=1,파라미터!$B$10,0)+IF(E114&gt;=2,파라미터!$B$11,0)+IF(E114&gt;=3,파라미터!$B$12,0))-파라미터!$B$15))*파라미터!$B$16-E114*파라미터!$B$7-MAX(0,파라미터!$B$19+파라미터!$B$20-MIN(파라미터!$B$15,파라미터!$B$5*(IF(E114&gt;=1,파라미터!$B$10,0)+IF(E114&gt;=2,파라미터!$B$11,0)+IF(E114&gt;=3,파라미터!$B$12,0))))-IF(MOD($A114-1,파라미터!$B$22)=0,파라미터!$B$21,0)</f>
        <v/>
      </c>
      <c r="G114" s="15">
        <f>MAX(0,G113+F114)</f>
        <v/>
      </c>
      <c r="H114" s="14">
        <f>IF(OR($A114&lt;파라미터!$B$6,MOD($A114,파라미터!$B$6)&gt;=3),0,INT((3-MOD($A114,파라미터!$B$6)-1)/파라미터!$B$6)+1)</f>
        <v/>
      </c>
      <c r="I114" s="15">
        <f>((H114*파라미터!$B$5-파라미터!$B$5*(IF(H114&gt;=1,파라미터!$B$10,0)+IF(H114&gt;=2,파라미터!$B$11,0)+IF(H114&gt;=3,파라미터!$B$12,0)))+MAX(0,파라미터!$B$5*(IF(H114&gt;=1,파라미터!$B$10,0)+IF(H114&gt;=2,파라미터!$B$11,0)+IF(H114&gt;=3,파라미터!$B$12,0))-파라미터!$B$15))*파라미터!$B$16-H114*파라미터!$B$7-MAX(0,파라미터!$B$19+파라미터!$B$20-MIN(파라미터!$B$15,파라미터!$B$5*(IF(H114&gt;=1,파라미터!$B$10,0)+IF(H114&gt;=2,파라미터!$B$11,0)+IF(H114&gt;=3,파라미터!$B$12,0))))-IF(MOD($A114-1,파라미터!$B$22)=0,파라미터!$B$21,0)</f>
        <v/>
      </c>
      <c r="J114" s="15">
        <f>MAX(0,J113+I114)</f>
        <v/>
      </c>
      <c r="K114" s="14">
        <f>IF(OR($A114&lt;파라미터!$B$6,MOD($A114,파라미터!$B$6)&gt;=5),0,INT((5-MOD($A114,파라미터!$B$6)-1)/파라미터!$B$6)+1)</f>
        <v/>
      </c>
      <c r="L114" s="15">
        <f>((K114*파라미터!$B$5-파라미터!$B$5*(IF(K114&gt;=1,파라미터!$B$10,0)+IF(K114&gt;=2,파라미터!$B$11,0)+IF(K114&gt;=3,파라미터!$B$12,0)))+MAX(0,파라미터!$B$5*(IF(K114&gt;=1,파라미터!$B$10,0)+IF(K114&gt;=2,파라미터!$B$11,0)+IF(K114&gt;=3,파라미터!$B$12,0))-파라미터!$B$15))*파라미터!$B$16-K114*파라미터!$B$7-MAX(0,파라미터!$B$19+파라미터!$B$20-MIN(파라미터!$B$15,파라미터!$B$5*(IF(K114&gt;=1,파라미터!$B$10,0)+IF(K114&gt;=2,파라미터!$B$11,0)+IF(K114&gt;=3,파라미터!$B$12,0))))-IF(MOD($A114-1,파라미터!$B$22)=0,파라미터!$B$21,0)</f>
        <v/>
      </c>
      <c r="M114" s="15">
        <f>MAX(0,M113+L114)</f>
        <v/>
      </c>
      <c r="N114" s="14">
        <f>IF(OR($A114&lt;파라미터!$B$6,MOD($A114,파라미터!$B$6)&gt;=10),0,INT((10-MOD($A114,파라미터!$B$6)-1)/파라미터!$B$6)+1)</f>
        <v/>
      </c>
      <c r="O114" s="15">
        <f>((N114*파라미터!$B$5-파라미터!$B$5*(IF(N114&gt;=1,파라미터!$B$10,0)+IF(N114&gt;=2,파라미터!$B$11,0)+IF(N114&gt;=3,파라미터!$B$12,0)))+MAX(0,파라미터!$B$5*(IF(N114&gt;=1,파라미터!$B$10,0)+IF(N114&gt;=2,파라미터!$B$11,0)+IF(N114&gt;=3,파라미터!$B$12,0))-파라미터!$B$15))*파라미터!$B$16-N114*파라미터!$B$7-MAX(0,파라미터!$B$19+파라미터!$B$20-MIN(파라미터!$B$15,파라미터!$B$5*(IF(N114&gt;=1,파라미터!$B$10,0)+IF(N114&gt;=2,파라미터!$B$11,0)+IF(N114&gt;=3,파라미터!$B$12,0))))-IF(MOD($A114-1,파라미터!$B$22)=0,파라미터!$B$21,0)</f>
        <v/>
      </c>
      <c r="P114" s="15">
        <f>MAX(0,P113+O114)</f>
        <v/>
      </c>
      <c r="Q114" s="14">
        <f>IF(OR($A114&lt;파라미터!$B$6,MOD($A114,파라미터!$B$6)&gt;=20),0,INT((20-MOD($A114,파라미터!$B$6)-1)/파라미터!$B$6)+1)</f>
        <v/>
      </c>
      <c r="R114" s="15">
        <f>((Q114*파라미터!$B$5-파라미터!$B$5*(IF(Q114&gt;=1,파라미터!$B$10,0)+IF(Q114&gt;=2,파라미터!$B$11,0)+IF(Q114&gt;=3,파라미터!$B$12,0)))+MAX(0,파라미터!$B$5*(IF(Q114&gt;=1,파라미터!$B$10,0)+IF(Q114&gt;=2,파라미터!$B$11,0)+IF(Q114&gt;=3,파라미터!$B$12,0))-파라미터!$B$15))*파라미터!$B$16-Q114*파라미터!$B$7-MAX(0,파라미터!$B$19+파라미터!$B$20-MIN(파라미터!$B$15,파라미터!$B$5*(IF(Q114&gt;=1,파라미터!$B$10,0)+IF(Q114&gt;=2,파라미터!$B$11,0)+IF(Q114&gt;=3,파라미터!$B$12,0))))-IF(MOD($A114-1,파라미터!$B$22)=0,파라미터!$B$21,0)</f>
        <v/>
      </c>
      <c r="S114" s="15">
        <f>MAX(0,S113+R114)</f>
        <v/>
      </c>
    </row>
    <row r="115">
      <c r="A115" s="13" t="n">
        <v>111</v>
      </c>
      <c r="B115" s="14">
        <f>IF(OR($A115&lt;파라미터!$B$6,MOD($A115,파라미터!$B$6)&gt;=1),0,INT((1-MOD($A115,파라미터!$B$6)-1)/파라미터!$B$6)+1)</f>
        <v/>
      </c>
      <c r="C115" s="15">
        <f>((B115*파라미터!$B$5-파라미터!$B$5*(IF(B115&gt;=1,파라미터!$B$10,0)+IF(B115&gt;=2,파라미터!$B$11,0)+IF(B115&gt;=3,파라미터!$B$12,0)))+MAX(0,파라미터!$B$5*(IF(B115&gt;=1,파라미터!$B$10,0)+IF(B115&gt;=2,파라미터!$B$11,0)+IF(B115&gt;=3,파라미터!$B$12,0))-파라미터!$B$15))*파라미터!$B$16-B115*파라미터!$B$7-MAX(0,파라미터!$B$19+파라미터!$B$20-MIN(파라미터!$B$15,파라미터!$B$5*(IF(B115&gt;=1,파라미터!$B$10,0)+IF(B115&gt;=2,파라미터!$B$11,0)+IF(B115&gt;=3,파라미터!$B$12,0))))-IF(MOD($A115-1,파라미터!$B$22)=0,파라미터!$B$21,0)</f>
        <v/>
      </c>
      <c r="D115" s="15">
        <f>MAX(0,D114+C115)</f>
        <v/>
      </c>
      <c r="E115" s="14">
        <f>IF(OR($A115&lt;파라미터!$B$6,MOD($A115,파라미터!$B$6)&gt;=2),0,INT((2-MOD($A115,파라미터!$B$6)-1)/파라미터!$B$6)+1)</f>
        <v/>
      </c>
      <c r="F115" s="15">
        <f>((E115*파라미터!$B$5-파라미터!$B$5*(IF(E115&gt;=1,파라미터!$B$10,0)+IF(E115&gt;=2,파라미터!$B$11,0)+IF(E115&gt;=3,파라미터!$B$12,0)))+MAX(0,파라미터!$B$5*(IF(E115&gt;=1,파라미터!$B$10,0)+IF(E115&gt;=2,파라미터!$B$11,0)+IF(E115&gt;=3,파라미터!$B$12,0))-파라미터!$B$15))*파라미터!$B$16-E115*파라미터!$B$7-MAX(0,파라미터!$B$19+파라미터!$B$20-MIN(파라미터!$B$15,파라미터!$B$5*(IF(E115&gt;=1,파라미터!$B$10,0)+IF(E115&gt;=2,파라미터!$B$11,0)+IF(E115&gt;=3,파라미터!$B$12,0))))-IF(MOD($A115-1,파라미터!$B$22)=0,파라미터!$B$21,0)</f>
        <v/>
      </c>
      <c r="G115" s="15">
        <f>MAX(0,G114+F115)</f>
        <v/>
      </c>
      <c r="H115" s="14">
        <f>IF(OR($A115&lt;파라미터!$B$6,MOD($A115,파라미터!$B$6)&gt;=3),0,INT((3-MOD($A115,파라미터!$B$6)-1)/파라미터!$B$6)+1)</f>
        <v/>
      </c>
      <c r="I115" s="15">
        <f>((H115*파라미터!$B$5-파라미터!$B$5*(IF(H115&gt;=1,파라미터!$B$10,0)+IF(H115&gt;=2,파라미터!$B$11,0)+IF(H115&gt;=3,파라미터!$B$12,0)))+MAX(0,파라미터!$B$5*(IF(H115&gt;=1,파라미터!$B$10,0)+IF(H115&gt;=2,파라미터!$B$11,0)+IF(H115&gt;=3,파라미터!$B$12,0))-파라미터!$B$15))*파라미터!$B$16-H115*파라미터!$B$7-MAX(0,파라미터!$B$19+파라미터!$B$20-MIN(파라미터!$B$15,파라미터!$B$5*(IF(H115&gt;=1,파라미터!$B$10,0)+IF(H115&gt;=2,파라미터!$B$11,0)+IF(H115&gt;=3,파라미터!$B$12,0))))-IF(MOD($A115-1,파라미터!$B$22)=0,파라미터!$B$21,0)</f>
        <v/>
      </c>
      <c r="J115" s="15">
        <f>MAX(0,J114+I115)</f>
        <v/>
      </c>
      <c r="K115" s="14">
        <f>IF(OR($A115&lt;파라미터!$B$6,MOD($A115,파라미터!$B$6)&gt;=5),0,INT((5-MOD($A115,파라미터!$B$6)-1)/파라미터!$B$6)+1)</f>
        <v/>
      </c>
      <c r="L115" s="15">
        <f>((K115*파라미터!$B$5-파라미터!$B$5*(IF(K115&gt;=1,파라미터!$B$10,0)+IF(K115&gt;=2,파라미터!$B$11,0)+IF(K115&gt;=3,파라미터!$B$12,0)))+MAX(0,파라미터!$B$5*(IF(K115&gt;=1,파라미터!$B$10,0)+IF(K115&gt;=2,파라미터!$B$11,0)+IF(K115&gt;=3,파라미터!$B$12,0))-파라미터!$B$15))*파라미터!$B$16-K115*파라미터!$B$7-MAX(0,파라미터!$B$19+파라미터!$B$20-MIN(파라미터!$B$15,파라미터!$B$5*(IF(K115&gt;=1,파라미터!$B$10,0)+IF(K115&gt;=2,파라미터!$B$11,0)+IF(K115&gt;=3,파라미터!$B$12,0))))-IF(MOD($A115-1,파라미터!$B$22)=0,파라미터!$B$21,0)</f>
        <v/>
      </c>
      <c r="M115" s="15">
        <f>MAX(0,M114+L115)</f>
        <v/>
      </c>
      <c r="N115" s="14">
        <f>IF(OR($A115&lt;파라미터!$B$6,MOD($A115,파라미터!$B$6)&gt;=10),0,INT((10-MOD($A115,파라미터!$B$6)-1)/파라미터!$B$6)+1)</f>
        <v/>
      </c>
      <c r="O115" s="15">
        <f>((N115*파라미터!$B$5-파라미터!$B$5*(IF(N115&gt;=1,파라미터!$B$10,0)+IF(N115&gt;=2,파라미터!$B$11,0)+IF(N115&gt;=3,파라미터!$B$12,0)))+MAX(0,파라미터!$B$5*(IF(N115&gt;=1,파라미터!$B$10,0)+IF(N115&gt;=2,파라미터!$B$11,0)+IF(N115&gt;=3,파라미터!$B$12,0))-파라미터!$B$15))*파라미터!$B$16-N115*파라미터!$B$7-MAX(0,파라미터!$B$19+파라미터!$B$20-MIN(파라미터!$B$15,파라미터!$B$5*(IF(N115&gt;=1,파라미터!$B$10,0)+IF(N115&gt;=2,파라미터!$B$11,0)+IF(N115&gt;=3,파라미터!$B$12,0))))-IF(MOD($A115-1,파라미터!$B$22)=0,파라미터!$B$21,0)</f>
        <v/>
      </c>
      <c r="P115" s="15">
        <f>MAX(0,P114+O115)</f>
        <v/>
      </c>
      <c r="Q115" s="14">
        <f>IF(OR($A115&lt;파라미터!$B$6,MOD($A115,파라미터!$B$6)&gt;=20),0,INT((20-MOD($A115,파라미터!$B$6)-1)/파라미터!$B$6)+1)</f>
        <v/>
      </c>
      <c r="R115" s="15">
        <f>((Q115*파라미터!$B$5-파라미터!$B$5*(IF(Q115&gt;=1,파라미터!$B$10,0)+IF(Q115&gt;=2,파라미터!$B$11,0)+IF(Q115&gt;=3,파라미터!$B$12,0)))+MAX(0,파라미터!$B$5*(IF(Q115&gt;=1,파라미터!$B$10,0)+IF(Q115&gt;=2,파라미터!$B$11,0)+IF(Q115&gt;=3,파라미터!$B$12,0))-파라미터!$B$15))*파라미터!$B$16-Q115*파라미터!$B$7-MAX(0,파라미터!$B$19+파라미터!$B$20-MIN(파라미터!$B$15,파라미터!$B$5*(IF(Q115&gt;=1,파라미터!$B$10,0)+IF(Q115&gt;=2,파라미터!$B$11,0)+IF(Q115&gt;=3,파라미터!$B$12,0))))-IF(MOD($A115-1,파라미터!$B$22)=0,파라미터!$B$21,0)</f>
        <v/>
      </c>
      <c r="S115" s="15">
        <f>MAX(0,S114+R115)</f>
        <v/>
      </c>
    </row>
    <row r="116">
      <c r="A116" s="13" t="n">
        <v>112</v>
      </c>
      <c r="B116" s="14">
        <f>IF(OR($A116&lt;파라미터!$B$6,MOD($A116,파라미터!$B$6)&gt;=1),0,INT((1-MOD($A116,파라미터!$B$6)-1)/파라미터!$B$6)+1)</f>
        <v/>
      </c>
      <c r="C116" s="15">
        <f>((B116*파라미터!$B$5-파라미터!$B$5*(IF(B116&gt;=1,파라미터!$B$10,0)+IF(B116&gt;=2,파라미터!$B$11,0)+IF(B116&gt;=3,파라미터!$B$12,0)))+MAX(0,파라미터!$B$5*(IF(B116&gt;=1,파라미터!$B$10,0)+IF(B116&gt;=2,파라미터!$B$11,0)+IF(B116&gt;=3,파라미터!$B$12,0))-파라미터!$B$15))*파라미터!$B$16-B116*파라미터!$B$7-MAX(0,파라미터!$B$19+파라미터!$B$20-MIN(파라미터!$B$15,파라미터!$B$5*(IF(B116&gt;=1,파라미터!$B$10,0)+IF(B116&gt;=2,파라미터!$B$11,0)+IF(B116&gt;=3,파라미터!$B$12,0))))-IF(MOD($A116-1,파라미터!$B$22)=0,파라미터!$B$21,0)</f>
        <v/>
      </c>
      <c r="D116" s="15">
        <f>MAX(0,D115+C116)</f>
        <v/>
      </c>
      <c r="E116" s="14">
        <f>IF(OR($A116&lt;파라미터!$B$6,MOD($A116,파라미터!$B$6)&gt;=2),0,INT((2-MOD($A116,파라미터!$B$6)-1)/파라미터!$B$6)+1)</f>
        <v/>
      </c>
      <c r="F116" s="15">
        <f>((E116*파라미터!$B$5-파라미터!$B$5*(IF(E116&gt;=1,파라미터!$B$10,0)+IF(E116&gt;=2,파라미터!$B$11,0)+IF(E116&gt;=3,파라미터!$B$12,0)))+MAX(0,파라미터!$B$5*(IF(E116&gt;=1,파라미터!$B$10,0)+IF(E116&gt;=2,파라미터!$B$11,0)+IF(E116&gt;=3,파라미터!$B$12,0))-파라미터!$B$15))*파라미터!$B$16-E116*파라미터!$B$7-MAX(0,파라미터!$B$19+파라미터!$B$20-MIN(파라미터!$B$15,파라미터!$B$5*(IF(E116&gt;=1,파라미터!$B$10,0)+IF(E116&gt;=2,파라미터!$B$11,0)+IF(E116&gt;=3,파라미터!$B$12,0))))-IF(MOD($A116-1,파라미터!$B$22)=0,파라미터!$B$21,0)</f>
        <v/>
      </c>
      <c r="G116" s="15">
        <f>MAX(0,G115+F116)</f>
        <v/>
      </c>
      <c r="H116" s="14">
        <f>IF(OR($A116&lt;파라미터!$B$6,MOD($A116,파라미터!$B$6)&gt;=3),0,INT((3-MOD($A116,파라미터!$B$6)-1)/파라미터!$B$6)+1)</f>
        <v/>
      </c>
      <c r="I116" s="15">
        <f>((H116*파라미터!$B$5-파라미터!$B$5*(IF(H116&gt;=1,파라미터!$B$10,0)+IF(H116&gt;=2,파라미터!$B$11,0)+IF(H116&gt;=3,파라미터!$B$12,0)))+MAX(0,파라미터!$B$5*(IF(H116&gt;=1,파라미터!$B$10,0)+IF(H116&gt;=2,파라미터!$B$11,0)+IF(H116&gt;=3,파라미터!$B$12,0))-파라미터!$B$15))*파라미터!$B$16-H116*파라미터!$B$7-MAX(0,파라미터!$B$19+파라미터!$B$20-MIN(파라미터!$B$15,파라미터!$B$5*(IF(H116&gt;=1,파라미터!$B$10,0)+IF(H116&gt;=2,파라미터!$B$11,0)+IF(H116&gt;=3,파라미터!$B$12,0))))-IF(MOD($A116-1,파라미터!$B$22)=0,파라미터!$B$21,0)</f>
        <v/>
      </c>
      <c r="J116" s="15">
        <f>MAX(0,J115+I116)</f>
        <v/>
      </c>
      <c r="K116" s="14">
        <f>IF(OR($A116&lt;파라미터!$B$6,MOD($A116,파라미터!$B$6)&gt;=5),0,INT((5-MOD($A116,파라미터!$B$6)-1)/파라미터!$B$6)+1)</f>
        <v/>
      </c>
      <c r="L116" s="15">
        <f>((K116*파라미터!$B$5-파라미터!$B$5*(IF(K116&gt;=1,파라미터!$B$10,0)+IF(K116&gt;=2,파라미터!$B$11,0)+IF(K116&gt;=3,파라미터!$B$12,0)))+MAX(0,파라미터!$B$5*(IF(K116&gt;=1,파라미터!$B$10,0)+IF(K116&gt;=2,파라미터!$B$11,0)+IF(K116&gt;=3,파라미터!$B$12,0))-파라미터!$B$15))*파라미터!$B$16-K116*파라미터!$B$7-MAX(0,파라미터!$B$19+파라미터!$B$20-MIN(파라미터!$B$15,파라미터!$B$5*(IF(K116&gt;=1,파라미터!$B$10,0)+IF(K116&gt;=2,파라미터!$B$11,0)+IF(K116&gt;=3,파라미터!$B$12,0))))-IF(MOD($A116-1,파라미터!$B$22)=0,파라미터!$B$21,0)</f>
        <v/>
      </c>
      <c r="M116" s="15">
        <f>MAX(0,M115+L116)</f>
        <v/>
      </c>
      <c r="N116" s="14">
        <f>IF(OR($A116&lt;파라미터!$B$6,MOD($A116,파라미터!$B$6)&gt;=10),0,INT((10-MOD($A116,파라미터!$B$6)-1)/파라미터!$B$6)+1)</f>
        <v/>
      </c>
      <c r="O116" s="15">
        <f>((N116*파라미터!$B$5-파라미터!$B$5*(IF(N116&gt;=1,파라미터!$B$10,0)+IF(N116&gt;=2,파라미터!$B$11,0)+IF(N116&gt;=3,파라미터!$B$12,0)))+MAX(0,파라미터!$B$5*(IF(N116&gt;=1,파라미터!$B$10,0)+IF(N116&gt;=2,파라미터!$B$11,0)+IF(N116&gt;=3,파라미터!$B$12,0))-파라미터!$B$15))*파라미터!$B$16-N116*파라미터!$B$7-MAX(0,파라미터!$B$19+파라미터!$B$20-MIN(파라미터!$B$15,파라미터!$B$5*(IF(N116&gt;=1,파라미터!$B$10,0)+IF(N116&gt;=2,파라미터!$B$11,0)+IF(N116&gt;=3,파라미터!$B$12,0))))-IF(MOD($A116-1,파라미터!$B$22)=0,파라미터!$B$21,0)</f>
        <v/>
      </c>
      <c r="P116" s="15">
        <f>MAX(0,P115+O116)</f>
        <v/>
      </c>
      <c r="Q116" s="14">
        <f>IF(OR($A116&lt;파라미터!$B$6,MOD($A116,파라미터!$B$6)&gt;=20),0,INT((20-MOD($A116,파라미터!$B$6)-1)/파라미터!$B$6)+1)</f>
        <v/>
      </c>
      <c r="R116" s="15">
        <f>((Q116*파라미터!$B$5-파라미터!$B$5*(IF(Q116&gt;=1,파라미터!$B$10,0)+IF(Q116&gt;=2,파라미터!$B$11,0)+IF(Q116&gt;=3,파라미터!$B$12,0)))+MAX(0,파라미터!$B$5*(IF(Q116&gt;=1,파라미터!$B$10,0)+IF(Q116&gt;=2,파라미터!$B$11,0)+IF(Q116&gt;=3,파라미터!$B$12,0))-파라미터!$B$15))*파라미터!$B$16-Q116*파라미터!$B$7-MAX(0,파라미터!$B$19+파라미터!$B$20-MIN(파라미터!$B$15,파라미터!$B$5*(IF(Q116&gt;=1,파라미터!$B$10,0)+IF(Q116&gt;=2,파라미터!$B$11,0)+IF(Q116&gt;=3,파라미터!$B$12,0))))-IF(MOD($A116-1,파라미터!$B$22)=0,파라미터!$B$21,0)</f>
        <v/>
      </c>
      <c r="S116" s="15">
        <f>MAX(0,S115+R116)</f>
        <v/>
      </c>
    </row>
    <row r="117">
      <c r="A117" s="13" t="n">
        <v>113</v>
      </c>
      <c r="B117" s="14">
        <f>IF(OR($A117&lt;파라미터!$B$6,MOD($A117,파라미터!$B$6)&gt;=1),0,INT((1-MOD($A117,파라미터!$B$6)-1)/파라미터!$B$6)+1)</f>
        <v/>
      </c>
      <c r="C117" s="15">
        <f>((B117*파라미터!$B$5-파라미터!$B$5*(IF(B117&gt;=1,파라미터!$B$10,0)+IF(B117&gt;=2,파라미터!$B$11,0)+IF(B117&gt;=3,파라미터!$B$12,0)))+MAX(0,파라미터!$B$5*(IF(B117&gt;=1,파라미터!$B$10,0)+IF(B117&gt;=2,파라미터!$B$11,0)+IF(B117&gt;=3,파라미터!$B$12,0))-파라미터!$B$15))*파라미터!$B$16-B117*파라미터!$B$7-MAX(0,파라미터!$B$19+파라미터!$B$20-MIN(파라미터!$B$15,파라미터!$B$5*(IF(B117&gt;=1,파라미터!$B$10,0)+IF(B117&gt;=2,파라미터!$B$11,0)+IF(B117&gt;=3,파라미터!$B$12,0))))-IF(MOD($A117-1,파라미터!$B$22)=0,파라미터!$B$21,0)</f>
        <v/>
      </c>
      <c r="D117" s="15">
        <f>MAX(0,D116+C117)</f>
        <v/>
      </c>
      <c r="E117" s="14">
        <f>IF(OR($A117&lt;파라미터!$B$6,MOD($A117,파라미터!$B$6)&gt;=2),0,INT((2-MOD($A117,파라미터!$B$6)-1)/파라미터!$B$6)+1)</f>
        <v/>
      </c>
      <c r="F117" s="15">
        <f>((E117*파라미터!$B$5-파라미터!$B$5*(IF(E117&gt;=1,파라미터!$B$10,0)+IF(E117&gt;=2,파라미터!$B$11,0)+IF(E117&gt;=3,파라미터!$B$12,0)))+MAX(0,파라미터!$B$5*(IF(E117&gt;=1,파라미터!$B$10,0)+IF(E117&gt;=2,파라미터!$B$11,0)+IF(E117&gt;=3,파라미터!$B$12,0))-파라미터!$B$15))*파라미터!$B$16-E117*파라미터!$B$7-MAX(0,파라미터!$B$19+파라미터!$B$20-MIN(파라미터!$B$15,파라미터!$B$5*(IF(E117&gt;=1,파라미터!$B$10,0)+IF(E117&gt;=2,파라미터!$B$11,0)+IF(E117&gt;=3,파라미터!$B$12,0))))-IF(MOD($A117-1,파라미터!$B$22)=0,파라미터!$B$21,0)</f>
        <v/>
      </c>
      <c r="G117" s="15">
        <f>MAX(0,G116+F117)</f>
        <v/>
      </c>
      <c r="H117" s="14">
        <f>IF(OR($A117&lt;파라미터!$B$6,MOD($A117,파라미터!$B$6)&gt;=3),0,INT((3-MOD($A117,파라미터!$B$6)-1)/파라미터!$B$6)+1)</f>
        <v/>
      </c>
      <c r="I117" s="15">
        <f>((H117*파라미터!$B$5-파라미터!$B$5*(IF(H117&gt;=1,파라미터!$B$10,0)+IF(H117&gt;=2,파라미터!$B$11,0)+IF(H117&gt;=3,파라미터!$B$12,0)))+MAX(0,파라미터!$B$5*(IF(H117&gt;=1,파라미터!$B$10,0)+IF(H117&gt;=2,파라미터!$B$11,0)+IF(H117&gt;=3,파라미터!$B$12,0))-파라미터!$B$15))*파라미터!$B$16-H117*파라미터!$B$7-MAX(0,파라미터!$B$19+파라미터!$B$20-MIN(파라미터!$B$15,파라미터!$B$5*(IF(H117&gt;=1,파라미터!$B$10,0)+IF(H117&gt;=2,파라미터!$B$11,0)+IF(H117&gt;=3,파라미터!$B$12,0))))-IF(MOD($A117-1,파라미터!$B$22)=0,파라미터!$B$21,0)</f>
        <v/>
      </c>
      <c r="J117" s="15">
        <f>MAX(0,J116+I117)</f>
        <v/>
      </c>
      <c r="K117" s="14">
        <f>IF(OR($A117&lt;파라미터!$B$6,MOD($A117,파라미터!$B$6)&gt;=5),0,INT((5-MOD($A117,파라미터!$B$6)-1)/파라미터!$B$6)+1)</f>
        <v/>
      </c>
      <c r="L117" s="15">
        <f>((K117*파라미터!$B$5-파라미터!$B$5*(IF(K117&gt;=1,파라미터!$B$10,0)+IF(K117&gt;=2,파라미터!$B$11,0)+IF(K117&gt;=3,파라미터!$B$12,0)))+MAX(0,파라미터!$B$5*(IF(K117&gt;=1,파라미터!$B$10,0)+IF(K117&gt;=2,파라미터!$B$11,0)+IF(K117&gt;=3,파라미터!$B$12,0))-파라미터!$B$15))*파라미터!$B$16-K117*파라미터!$B$7-MAX(0,파라미터!$B$19+파라미터!$B$20-MIN(파라미터!$B$15,파라미터!$B$5*(IF(K117&gt;=1,파라미터!$B$10,0)+IF(K117&gt;=2,파라미터!$B$11,0)+IF(K117&gt;=3,파라미터!$B$12,0))))-IF(MOD($A117-1,파라미터!$B$22)=0,파라미터!$B$21,0)</f>
        <v/>
      </c>
      <c r="M117" s="15">
        <f>MAX(0,M116+L117)</f>
        <v/>
      </c>
      <c r="N117" s="14">
        <f>IF(OR($A117&lt;파라미터!$B$6,MOD($A117,파라미터!$B$6)&gt;=10),0,INT((10-MOD($A117,파라미터!$B$6)-1)/파라미터!$B$6)+1)</f>
        <v/>
      </c>
      <c r="O117" s="15">
        <f>((N117*파라미터!$B$5-파라미터!$B$5*(IF(N117&gt;=1,파라미터!$B$10,0)+IF(N117&gt;=2,파라미터!$B$11,0)+IF(N117&gt;=3,파라미터!$B$12,0)))+MAX(0,파라미터!$B$5*(IF(N117&gt;=1,파라미터!$B$10,0)+IF(N117&gt;=2,파라미터!$B$11,0)+IF(N117&gt;=3,파라미터!$B$12,0))-파라미터!$B$15))*파라미터!$B$16-N117*파라미터!$B$7-MAX(0,파라미터!$B$19+파라미터!$B$20-MIN(파라미터!$B$15,파라미터!$B$5*(IF(N117&gt;=1,파라미터!$B$10,0)+IF(N117&gt;=2,파라미터!$B$11,0)+IF(N117&gt;=3,파라미터!$B$12,0))))-IF(MOD($A117-1,파라미터!$B$22)=0,파라미터!$B$21,0)</f>
        <v/>
      </c>
      <c r="P117" s="15">
        <f>MAX(0,P116+O117)</f>
        <v/>
      </c>
      <c r="Q117" s="14">
        <f>IF(OR($A117&lt;파라미터!$B$6,MOD($A117,파라미터!$B$6)&gt;=20),0,INT((20-MOD($A117,파라미터!$B$6)-1)/파라미터!$B$6)+1)</f>
        <v/>
      </c>
      <c r="R117" s="15">
        <f>((Q117*파라미터!$B$5-파라미터!$B$5*(IF(Q117&gt;=1,파라미터!$B$10,0)+IF(Q117&gt;=2,파라미터!$B$11,0)+IF(Q117&gt;=3,파라미터!$B$12,0)))+MAX(0,파라미터!$B$5*(IF(Q117&gt;=1,파라미터!$B$10,0)+IF(Q117&gt;=2,파라미터!$B$11,0)+IF(Q117&gt;=3,파라미터!$B$12,0))-파라미터!$B$15))*파라미터!$B$16-Q117*파라미터!$B$7-MAX(0,파라미터!$B$19+파라미터!$B$20-MIN(파라미터!$B$15,파라미터!$B$5*(IF(Q117&gt;=1,파라미터!$B$10,0)+IF(Q117&gt;=2,파라미터!$B$11,0)+IF(Q117&gt;=3,파라미터!$B$12,0))))-IF(MOD($A117-1,파라미터!$B$22)=0,파라미터!$B$21,0)</f>
        <v/>
      </c>
      <c r="S117" s="15">
        <f>MAX(0,S116+R117)</f>
        <v/>
      </c>
    </row>
    <row r="118">
      <c r="A118" s="13" t="n">
        <v>114</v>
      </c>
      <c r="B118" s="14">
        <f>IF(OR($A118&lt;파라미터!$B$6,MOD($A118,파라미터!$B$6)&gt;=1),0,INT((1-MOD($A118,파라미터!$B$6)-1)/파라미터!$B$6)+1)</f>
        <v/>
      </c>
      <c r="C118" s="15">
        <f>((B118*파라미터!$B$5-파라미터!$B$5*(IF(B118&gt;=1,파라미터!$B$10,0)+IF(B118&gt;=2,파라미터!$B$11,0)+IF(B118&gt;=3,파라미터!$B$12,0)))+MAX(0,파라미터!$B$5*(IF(B118&gt;=1,파라미터!$B$10,0)+IF(B118&gt;=2,파라미터!$B$11,0)+IF(B118&gt;=3,파라미터!$B$12,0))-파라미터!$B$15))*파라미터!$B$16-B118*파라미터!$B$7-MAX(0,파라미터!$B$19+파라미터!$B$20-MIN(파라미터!$B$15,파라미터!$B$5*(IF(B118&gt;=1,파라미터!$B$10,0)+IF(B118&gt;=2,파라미터!$B$11,0)+IF(B118&gt;=3,파라미터!$B$12,0))))-IF(MOD($A118-1,파라미터!$B$22)=0,파라미터!$B$21,0)</f>
        <v/>
      </c>
      <c r="D118" s="15">
        <f>MAX(0,D117+C118)</f>
        <v/>
      </c>
      <c r="E118" s="14">
        <f>IF(OR($A118&lt;파라미터!$B$6,MOD($A118,파라미터!$B$6)&gt;=2),0,INT((2-MOD($A118,파라미터!$B$6)-1)/파라미터!$B$6)+1)</f>
        <v/>
      </c>
      <c r="F118" s="15">
        <f>((E118*파라미터!$B$5-파라미터!$B$5*(IF(E118&gt;=1,파라미터!$B$10,0)+IF(E118&gt;=2,파라미터!$B$11,0)+IF(E118&gt;=3,파라미터!$B$12,0)))+MAX(0,파라미터!$B$5*(IF(E118&gt;=1,파라미터!$B$10,0)+IF(E118&gt;=2,파라미터!$B$11,0)+IF(E118&gt;=3,파라미터!$B$12,0))-파라미터!$B$15))*파라미터!$B$16-E118*파라미터!$B$7-MAX(0,파라미터!$B$19+파라미터!$B$20-MIN(파라미터!$B$15,파라미터!$B$5*(IF(E118&gt;=1,파라미터!$B$10,0)+IF(E118&gt;=2,파라미터!$B$11,0)+IF(E118&gt;=3,파라미터!$B$12,0))))-IF(MOD($A118-1,파라미터!$B$22)=0,파라미터!$B$21,0)</f>
        <v/>
      </c>
      <c r="G118" s="15">
        <f>MAX(0,G117+F118)</f>
        <v/>
      </c>
      <c r="H118" s="14">
        <f>IF(OR($A118&lt;파라미터!$B$6,MOD($A118,파라미터!$B$6)&gt;=3),0,INT((3-MOD($A118,파라미터!$B$6)-1)/파라미터!$B$6)+1)</f>
        <v/>
      </c>
      <c r="I118" s="15">
        <f>((H118*파라미터!$B$5-파라미터!$B$5*(IF(H118&gt;=1,파라미터!$B$10,0)+IF(H118&gt;=2,파라미터!$B$11,0)+IF(H118&gt;=3,파라미터!$B$12,0)))+MAX(0,파라미터!$B$5*(IF(H118&gt;=1,파라미터!$B$10,0)+IF(H118&gt;=2,파라미터!$B$11,0)+IF(H118&gt;=3,파라미터!$B$12,0))-파라미터!$B$15))*파라미터!$B$16-H118*파라미터!$B$7-MAX(0,파라미터!$B$19+파라미터!$B$20-MIN(파라미터!$B$15,파라미터!$B$5*(IF(H118&gt;=1,파라미터!$B$10,0)+IF(H118&gt;=2,파라미터!$B$11,0)+IF(H118&gt;=3,파라미터!$B$12,0))))-IF(MOD($A118-1,파라미터!$B$22)=0,파라미터!$B$21,0)</f>
        <v/>
      </c>
      <c r="J118" s="15">
        <f>MAX(0,J117+I118)</f>
        <v/>
      </c>
      <c r="K118" s="14">
        <f>IF(OR($A118&lt;파라미터!$B$6,MOD($A118,파라미터!$B$6)&gt;=5),0,INT((5-MOD($A118,파라미터!$B$6)-1)/파라미터!$B$6)+1)</f>
        <v/>
      </c>
      <c r="L118" s="15">
        <f>((K118*파라미터!$B$5-파라미터!$B$5*(IF(K118&gt;=1,파라미터!$B$10,0)+IF(K118&gt;=2,파라미터!$B$11,0)+IF(K118&gt;=3,파라미터!$B$12,0)))+MAX(0,파라미터!$B$5*(IF(K118&gt;=1,파라미터!$B$10,0)+IF(K118&gt;=2,파라미터!$B$11,0)+IF(K118&gt;=3,파라미터!$B$12,0))-파라미터!$B$15))*파라미터!$B$16-K118*파라미터!$B$7-MAX(0,파라미터!$B$19+파라미터!$B$20-MIN(파라미터!$B$15,파라미터!$B$5*(IF(K118&gt;=1,파라미터!$B$10,0)+IF(K118&gt;=2,파라미터!$B$11,0)+IF(K118&gt;=3,파라미터!$B$12,0))))-IF(MOD($A118-1,파라미터!$B$22)=0,파라미터!$B$21,0)</f>
        <v/>
      </c>
      <c r="M118" s="15">
        <f>MAX(0,M117+L118)</f>
        <v/>
      </c>
      <c r="N118" s="14">
        <f>IF(OR($A118&lt;파라미터!$B$6,MOD($A118,파라미터!$B$6)&gt;=10),0,INT((10-MOD($A118,파라미터!$B$6)-1)/파라미터!$B$6)+1)</f>
        <v/>
      </c>
      <c r="O118" s="15">
        <f>((N118*파라미터!$B$5-파라미터!$B$5*(IF(N118&gt;=1,파라미터!$B$10,0)+IF(N118&gt;=2,파라미터!$B$11,0)+IF(N118&gt;=3,파라미터!$B$12,0)))+MAX(0,파라미터!$B$5*(IF(N118&gt;=1,파라미터!$B$10,0)+IF(N118&gt;=2,파라미터!$B$11,0)+IF(N118&gt;=3,파라미터!$B$12,0))-파라미터!$B$15))*파라미터!$B$16-N118*파라미터!$B$7-MAX(0,파라미터!$B$19+파라미터!$B$20-MIN(파라미터!$B$15,파라미터!$B$5*(IF(N118&gt;=1,파라미터!$B$10,0)+IF(N118&gt;=2,파라미터!$B$11,0)+IF(N118&gt;=3,파라미터!$B$12,0))))-IF(MOD($A118-1,파라미터!$B$22)=0,파라미터!$B$21,0)</f>
        <v/>
      </c>
      <c r="P118" s="15">
        <f>MAX(0,P117+O118)</f>
        <v/>
      </c>
      <c r="Q118" s="14">
        <f>IF(OR($A118&lt;파라미터!$B$6,MOD($A118,파라미터!$B$6)&gt;=20),0,INT((20-MOD($A118,파라미터!$B$6)-1)/파라미터!$B$6)+1)</f>
        <v/>
      </c>
      <c r="R118" s="15">
        <f>((Q118*파라미터!$B$5-파라미터!$B$5*(IF(Q118&gt;=1,파라미터!$B$10,0)+IF(Q118&gt;=2,파라미터!$B$11,0)+IF(Q118&gt;=3,파라미터!$B$12,0)))+MAX(0,파라미터!$B$5*(IF(Q118&gt;=1,파라미터!$B$10,0)+IF(Q118&gt;=2,파라미터!$B$11,0)+IF(Q118&gt;=3,파라미터!$B$12,0))-파라미터!$B$15))*파라미터!$B$16-Q118*파라미터!$B$7-MAX(0,파라미터!$B$19+파라미터!$B$20-MIN(파라미터!$B$15,파라미터!$B$5*(IF(Q118&gt;=1,파라미터!$B$10,0)+IF(Q118&gt;=2,파라미터!$B$11,0)+IF(Q118&gt;=3,파라미터!$B$12,0))))-IF(MOD($A118-1,파라미터!$B$22)=0,파라미터!$B$21,0)</f>
        <v/>
      </c>
      <c r="S118" s="15">
        <f>MAX(0,S117+R118)</f>
        <v/>
      </c>
    </row>
    <row r="119">
      <c r="A119" s="13" t="n">
        <v>115</v>
      </c>
      <c r="B119" s="14">
        <f>IF(OR($A119&lt;파라미터!$B$6,MOD($A119,파라미터!$B$6)&gt;=1),0,INT((1-MOD($A119,파라미터!$B$6)-1)/파라미터!$B$6)+1)</f>
        <v/>
      </c>
      <c r="C119" s="15">
        <f>((B119*파라미터!$B$5-파라미터!$B$5*(IF(B119&gt;=1,파라미터!$B$10,0)+IF(B119&gt;=2,파라미터!$B$11,0)+IF(B119&gt;=3,파라미터!$B$12,0)))+MAX(0,파라미터!$B$5*(IF(B119&gt;=1,파라미터!$B$10,0)+IF(B119&gt;=2,파라미터!$B$11,0)+IF(B119&gt;=3,파라미터!$B$12,0))-파라미터!$B$15))*파라미터!$B$16-B119*파라미터!$B$7-MAX(0,파라미터!$B$19+파라미터!$B$20-MIN(파라미터!$B$15,파라미터!$B$5*(IF(B119&gt;=1,파라미터!$B$10,0)+IF(B119&gt;=2,파라미터!$B$11,0)+IF(B119&gt;=3,파라미터!$B$12,0))))-IF(MOD($A119-1,파라미터!$B$22)=0,파라미터!$B$21,0)</f>
        <v/>
      </c>
      <c r="D119" s="15">
        <f>MAX(0,D118+C119)</f>
        <v/>
      </c>
      <c r="E119" s="14">
        <f>IF(OR($A119&lt;파라미터!$B$6,MOD($A119,파라미터!$B$6)&gt;=2),0,INT((2-MOD($A119,파라미터!$B$6)-1)/파라미터!$B$6)+1)</f>
        <v/>
      </c>
      <c r="F119" s="15">
        <f>((E119*파라미터!$B$5-파라미터!$B$5*(IF(E119&gt;=1,파라미터!$B$10,0)+IF(E119&gt;=2,파라미터!$B$11,0)+IF(E119&gt;=3,파라미터!$B$12,0)))+MAX(0,파라미터!$B$5*(IF(E119&gt;=1,파라미터!$B$10,0)+IF(E119&gt;=2,파라미터!$B$11,0)+IF(E119&gt;=3,파라미터!$B$12,0))-파라미터!$B$15))*파라미터!$B$16-E119*파라미터!$B$7-MAX(0,파라미터!$B$19+파라미터!$B$20-MIN(파라미터!$B$15,파라미터!$B$5*(IF(E119&gt;=1,파라미터!$B$10,0)+IF(E119&gt;=2,파라미터!$B$11,0)+IF(E119&gt;=3,파라미터!$B$12,0))))-IF(MOD($A119-1,파라미터!$B$22)=0,파라미터!$B$21,0)</f>
        <v/>
      </c>
      <c r="G119" s="15">
        <f>MAX(0,G118+F119)</f>
        <v/>
      </c>
      <c r="H119" s="14">
        <f>IF(OR($A119&lt;파라미터!$B$6,MOD($A119,파라미터!$B$6)&gt;=3),0,INT((3-MOD($A119,파라미터!$B$6)-1)/파라미터!$B$6)+1)</f>
        <v/>
      </c>
      <c r="I119" s="15">
        <f>((H119*파라미터!$B$5-파라미터!$B$5*(IF(H119&gt;=1,파라미터!$B$10,0)+IF(H119&gt;=2,파라미터!$B$11,0)+IF(H119&gt;=3,파라미터!$B$12,0)))+MAX(0,파라미터!$B$5*(IF(H119&gt;=1,파라미터!$B$10,0)+IF(H119&gt;=2,파라미터!$B$11,0)+IF(H119&gt;=3,파라미터!$B$12,0))-파라미터!$B$15))*파라미터!$B$16-H119*파라미터!$B$7-MAX(0,파라미터!$B$19+파라미터!$B$20-MIN(파라미터!$B$15,파라미터!$B$5*(IF(H119&gt;=1,파라미터!$B$10,0)+IF(H119&gt;=2,파라미터!$B$11,0)+IF(H119&gt;=3,파라미터!$B$12,0))))-IF(MOD($A119-1,파라미터!$B$22)=0,파라미터!$B$21,0)</f>
        <v/>
      </c>
      <c r="J119" s="15">
        <f>MAX(0,J118+I119)</f>
        <v/>
      </c>
      <c r="K119" s="14">
        <f>IF(OR($A119&lt;파라미터!$B$6,MOD($A119,파라미터!$B$6)&gt;=5),0,INT((5-MOD($A119,파라미터!$B$6)-1)/파라미터!$B$6)+1)</f>
        <v/>
      </c>
      <c r="L119" s="15">
        <f>((K119*파라미터!$B$5-파라미터!$B$5*(IF(K119&gt;=1,파라미터!$B$10,0)+IF(K119&gt;=2,파라미터!$B$11,0)+IF(K119&gt;=3,파라미터!$B$12,0)))+MAX(0,파라미터!$B$5*(IF(K119&gt;=1,파라미터!$B$10,0)+IF(K119&gt;=2,파라미터!$B$11,0)+IF(K119&gt;=3,파라미터!$B$12,0))-파라미터!$B$15))*파라미터!$B$16-K119*파라미터!$B$7-MAX(0,파라미터!$B$19+파라미터!$B$20-MIN(파라미터!$B$15,파라미터!$B$5*(IF(K119&gt;=1,파라미터!$B$10,0)+IF(K119&gt;=2,파라미터!$B$11,0)+IF(K119&gt;=3,파라미터!$B$12,0))))-IF(MOD($A119-1,파라미터!$B$22)=0,파라미터!$B$21,0)</f>
        <v/>
      </c>
      <c r="M119" s="15">
        <f>MAX(0,M118+L119)</f>
        <v/>
      </c>
      <c r="N119" s="14">
        <f>IF(OR($A119&lt;파라미터!$B$6,MOD($A119,파라미터!$B$6)&gt;=10),0,INT((10-MOD($A119,파라미터!$B$6)-1)/파라미터!$B$6)+1)</f>
        <v/>
      </c>
      <c r="O119" s="15">
        <f>((N119*파라미터!$B$5-파라미터!$B$5*(IF(N119&gt;=1,파라미터!$B$10,0)+IF(N119&gt;=2,파라미터!$B$11,0)+IF(N119&gt;=3,파라미터!$B$12,0)))+MAX(0,파라미터!$B$5*(IF(N119&gt;=1,파라미터!$B$10,0)+IF(N119&gt;=2,파라미터!$B$11,0)+IF(N119&gt;=3,파라미터!$B$12,0))-파라미터!$B$15))*파라미터!$B$16-N119*파라미터!$B$7-MAX(0,파라미터!$B$19+파라미터!$B$20-MIN(파라미터!$B$15,파라미터!$B$5*(IF(N119&gt;=1,파라미터!$B$10,0)+IF(N119&gt;=2,파라미터!$B$11,0)+IF(N119&gt;=3,파라미터!$B$12,0))))-IF(MOD($A119-1,파라미터!$B$22)=0,파라미터!$B$21,0)</f>
        <v/>
      </c>
      <c r="P119" s="15">
        <f>MAX(0,P118+O119)</f>
        <v/>
      </c>
      <c r="Q119" s="14">
        <f>IF(OR($A119&lt;파라미터!$B$6,MOD($A119,파라미터!$B$6)&gt;=20),0,INT((20-MOD($A119,파라미터!$B$6)-1)/파라미터!$B$6)+1)</f>
        <v/>
      </c>
      <c r="R119" s="15">
        <f>((Q119*파라미터!$B$5-파라미터!$B$5*(IF(Q119&gt;=1,파라미터!$B$10,0)+IF(Q119&gt;=2,파라미터!$B$11,0)+IF(Q119&gt;=3,파라미터!$B$12,0)))+MAX(0,파라미터!$B$5*(IF(Q119&gt;=1,파라미터!$B$10,0)+IF(Q119&gt;=2,파라미터!$B$11,0)+IF(Q119&gt;=3,파라미터!$B$12,0))-파라미터!$B$15))*파라미터!$B$16-Q119*파라미터!$B$7-MAX(0,파라미터!$B$19+파라미터!$B$20-MIN(파라미터!$B$15,파라미터!$B$5*(IF(Q119&gt;=1,파라미터!$B$10,0)+IF(Q119&gt;=2,파라미터!$B$11,0)+IF(Q119&gt;=3,파라미터!$B$12,0))))-IF(MOD($A119-1,파라미터!$B$22)=0,파라미터!$B$21,0)</f>
        <v/>
      </c>
      <c r="S119" s="15">
        <f>MAX(0,S118+R119)</f>
        <v/>
      </c>
    </row>
    <row r="120">
      <c r="A120" s="13" t="n">
        <v>116</v>
      </c>
      <c r="B120" s="14">
        <f>IF(OR($A120&lt;파라미터!$B$6,MOD($A120,파라미터!$B$6)&gt;=1),0,INT((1-MOD($A120,파라미터!$B$6)-1)/파라미터!$B$6)+1)</f>
        <v/>
      </c>
      <c r="C120" s="15">
        <f>((B120*파라미터!$B$5-파라미터!$B$5*(IF(B120&gt;=1,파라미터!$B$10,0)+IF(B120&gt;=2,파라미터!$B$11,0)+IF(B120&gt;=3,파라미터!$B$12,0)))+MAX(0,파라미터!$B$5*(IF(B120&gt;=1,파라미터!$B$10,0)+IF(B120&gt;=2,파라미터!$B$11,0)+IF(B120&gt;=3,파라미터!$B$12,0))-파라미터!$B$15))*파라미터!$B$16-B120*파라미터!$B$7-MAX(0,파라미터!$B$19+파라미터!$B$20-MIN(파라미터!$B$15,파라미터!$B$5*(IF(B120&gt;=1,파라미터!$B$10,0)+IF(B120&gt;=2,파라미터!$B$11,0)+IF(B120&gt;=3,파라미터!$B$12,0))))-IF(MOD($A120-1,파라미터!$B$22)=0,파라미터!$B$21,0)</f>
        <v/>
      </c>
      <c r="D120" s="15">
        <f>MAX(0,D119+C120)</f>
        <v/>
      </c>
      <c r="E120" s="14">
        <f>IF(OR($A120&lt;파라미터!$B$6,MOD($A120,파라미터!$B$6)&gt;=2),0,INT((2-MOD($A120,파라미터!$B$6)-1)/파라미터!$B$6)+1)</f>
        <v/>
      </c>
      <c r="F120" s="15">
        <f>((E120*파라미터!$B$5-파라미터!$B$5*(IF(E120&gt;=1,파라미터!$B$10,0)+IF(E120&gt;=2,파라미터!$B$11,0)+IF(E120&gt;=3,파라미터!$B$12,0)))+MAX(0,파라미터!$B$5*(IF(E120&gt;=1,파라미터!$B$10,0)+IF(E120&gt;=2,파라미터!$B$11,0)+IF(E120&gt;=3,파라미터!$B$12,0))-파라미터!$B$15))*파라미터!$B$16-E120*파라미터!$B$7-MAX(0,파라미터!$B$19+파라미터!$B$20-MIN(파라미터!$B$15,파라미터!$B$5*(IF(E120&gt;=1,파라미터!$B$10,0)+IF(E120&gt;=2,파라미터!$B$11,0)+IF(E120&gt;=3,파라미터!$B$12,0))))-IF(MOD($A120-1,파라미터!$B$22)=0,파라미터!$B$21,0)</f>
        <v/>
      </c>
      <c r="G120" s="15">
        <f>MAX(0,G119+F120)</f>
        <v/>
      </c>
      <c r="H120" s="14">
        <f>IF(OR($A120&lt;파라미터!$B$6,MOD($A120,파라미터!$B$6)&gt;=3),0,INT((3-MOD($A120,파라미터!$B$6)-1)/파라미터!$B$6)+1)</f>
        <v/>
      </c>
      <c r="I120" s="15">
        <f>((H120*파라미터!$B$5-파라미터!$B$5*(IF(H120&gt;=1,파라미터!$B$10,0)+IF(H120&gt;=2,파라미터!$B$11,0)+IF(H120&gt;=3,파라미터!$B$12,0)))+MAX(0,파라미터!$B$5*(IF(H120&gt;=1,파라미터!$B$10,0)+IF(H120&gt;=2,파라미터!$B$11,0)+IF(H120&gt;=3,파라미터!$B$12,0))-파라미터!$B$15))*파라미터!$B$16-H120*파라미터!$B$7-MAX(0,파라미터!$B$19+파라미터!$B$20-MIN(파라미터!$B$15,파라미터!$B$5*(IF(H120&gt;=1,파라미터!$B$10,0)+IF(H120&gt;=2,파라미터!$B$11,0)+IF(H120&gt;=3,파라미터!$B$12,0))))-IF(MOD($A120-1,파라미터!$B$22)=0,파라미터!$B$21,0)</f>
        <v/>
      </c>
      <c r="J120" s="15">
        <f>MAX(0,J119+I120)</f>
        <v/>
      </c>
      <c r="K120" s="14">
        <f>IF(OR($A120&lt;파라미터!$B$6,MOD($A120,파라미터!$B$6)&gt;=5),0,INT((5-MOD($A120,파라미터!$B$6)-1)/파라미터!$B$6)+1)</f>
        <v/>
      </c>
      <c r="L120" s="15">
        <f>((K120*파라미터!$B$5-파라미터!$B$5*(IF(K120&gt;=1,파라미터!$B$10,0)+IF(K120&gt;=2,파라미터!$B$11,0)+IF(K120&gt;=3,파라미터!$B$12,0)))+MAX(0,파라미터!$B$5*(IF(K120&gt;=1,파라미터!$B$10,0)+IF(K120&gt;=2,파라미터!$B$11,0)+IF(K120&gt;=3,파라미터!$B$12,0))-파라미터!$B$15))*파라미터!$B$16-K120*파라미터!$B$7-MAX(0,파라미터!$B$19+파라미터!$B$20-MIN(파라미터!$B$15,파라미터!$B$5*(IF(K120&gt;=1,파라미터!$B$10,0)+IF(K120&gt;=2,파라미터!$B$11,0)+IF(K120&gt;=3,파라미터!$B$12,0))))-IF(MOD($A120-1,파라미터!$B$22)=0,파라미터!$B$21,0)</f>
        <v/>
      </c>
      <c r="M120" s="15">
        <f>MAX(0,M119+L120)</f>
        <v/>
      </c>
      <c r="N120" s="14">
        <f>IF(OR($A120&lt;파라미터!$B$6,MOD($A120,파라미터!$B$6)&gt;=10),0,INT((10-MOD($A120,파라미터!$B$6)-1)/파라미터!$B$6)+1)</f>
        <v/>
      </c>
      <c r="O120" s="15">
        <f>((N120*파라미터!$B$5-파라미터!$B$5*(IF(N120&gt;=1,파라미터!$B$10,0)+IF(N120&gt;=2,파라미터!$B$11,0)+IF(N120&gt;=3,파라미터!$B$12,0)))+MAX(0,파라미터!$B$5*(IF(N120&gt;=1,파라미터!$B$10,0)+IF(N120&gt;=2,파라미터!$B$11,0)+IF(N120&gt;=3,파라미터!$B$12,0))-파라미터!$B$15))*파라미터!$B$16-N120*파라미터!$B$7-MAX(0,파라미터!$B$19+파라미터!$B$20-MIN(파라미터!$B$15,파라미터!$B$5*(IF(N120&gt;=1,파라미터!$B$10,0)+IF(N120&gt;=2,파라미터!$B$11,0)+IF(N120&gt;=3,파라미터!$B$12,0))))-IF(MOD($A120-1,파라미터!$B$22)=0,파라미터!$B$21,0)</f>
        <v/>
      </c>
      <c r="P120" s="15">
        <f>MAX(0,P119+O120)</f>
        <v/>
      </c>
      <c r="Q120" s="14">
        <f>IF(OR($A120&lt;파라미터!$B$6,MOD($A120,파라미터!$B$6)&gt;=20),0,INT((20-MOD($A120,파라미터!$B$6)-1)/파라미터!$B$6)+1)</f>
        <v/>
      </c>
      <c r="R120" s="15">
        <f>((Q120*파라미터!$B$5-파라미터!$B$5*(IF(Q120&gt;=1,파라미터!$B$10,0)+IF(Q120&gt;=2,파라미터!$B$11,0)+IF(Q120&gt;=3,파라미터!$B$12,0)))+MAX(0,파라미터!$B$5*(IF(Q120&gt;=1,파라미터!$B$10,0)+IF(Q120&gt;=2,파라미터!$B$11,0)+IF(Q120&gt;=3,파라미터!$B$12,0))-파라미터!$B$15))*파라미터!$B$16-Q120*파라미터!$B$7-MAX(0,파라미터!$B$19+파라미터!$B$20-MIN(파라미터!$B$15,파라미터!$B$5*(IF(Q120&gt;=1,파라미터!$B$10,0)+IF(Q120&gt;=2,파라미터!$B$11,0)+IF(Q120&gt;=3,파라미터!$B$12,0))))-IF(MOD($A120-1,파라미터!$B$22)=0,파라미터!$B$21,0)</f>
        <v/>
      </c>
      <c r="S120" s="15">
        <f>MAX(0,S119+R120)</f>
        <v/>
      </c>
    </row>
    <row r="121">
      <c r="A121" s="13" t="n">
        <v>117</v>
      </c>
      <c r="B121" s="14">
        <f>IF(OR($A121&lt;파라미터!$B$6,MOD($A121,파라미터!$B$6)&gt;=1),0,INT((1-MOD($A121,파라미터!$B$6)-1)/파라미터!$B$6)+1)</f>
        <v/>
      </c>
      <c r="C121" s="15">
        <f>((B121*파라미터!$B$5-파라미터!$B$5*(IF(B121&gt;=1,파라미터!$B$10,0)+IF(B121&gt;=2,파라미터!$B$11,0)+IF(B121&gt;=3,파라미터!$B$12,0)))+MAX(0,파라미터!$B$5*(IF(B121&gt;=1,파라미터!$B$10,0)+IF(B121&gt;=2,파라미터!$B$11,0)+IF(B121&gt;=3,파라미터!$B$12,0))-파라미터!$B$15))*파라미터!$B$16-B121*파라미터!$B$7-MAX(0,파라미터!$B$19+파라미터!$B$20-MIN(파라미터!$B$15,파라미터!$B$5*(IF(B121&gt;=1,파라미터!$B$10,0)+IF(B121&gt;=2,파라미터!$B$11,0)+IF(B121&gt;=3,파라미터!$B$12,0))))-IF(MOD($A121-1,파라미터!$B$22)=0,파라미터!$B$21,0)</f>
        <v/>
      </c>
      <c r="D121" s="15">
        <f>MAX(0,D120+C121)</f>
        <v/>
      </c>
      <c r="E121" s="14">
        <f>IF(OR($A121&lt;파라미터!$B$6,MOD($A121,파라미터!$B$6)&gt;=2),0,INT((2-MOD($A121,파라미터!$B$6)-1)/파라미터!$B$6)+1)</f>
        <v/>
      </c>
      <c r="F121" s="15">
        <f>((E121*파라미터!$B$5-파라미터!$B$5*(IF(E121&gt;=1,파라미터!$B$10,0)+IF(E121&gt;=2,파라미터!$B$11,0)+IF(E121&gt;=3,파라미터!$B$12,0)))+MAX(0,파라미터!$B$5*(IF(E121&gt;=1,파라미터!$B$10,0)+IF(E121&gt;=2,파라미터!$B$11,0)+IF(E121&gt;=3,파라미터!$B$12,0))-파라미터!$B$15))*파라미터!$B$16-E121*파라미터!$B$7-MAX(0,파라미터!$B$19+파라미터!$B$20-MIN(파라미터!$B$15,파라미터!$B$5*(IF(E121&gt;=1,파라미터!$B$10,0)+IF(E121&gt;=2,파라미터!$B$11,0)+IF(E121&gt;=3,파라미터!$B$12,0))))-IF(MOD($A121-1,파라미터!$B$22)=0,파라미터!$B$21,0)</f>
        <v/>
      </c>
      <c r="G121" s="15">
        <f>MAX(0,G120+F121)</f>
        <v/>
      </c>
      <c r="H121" s="14">
        <f>IF(OR($A121&lt;파라미터!$B$6,MOD($A121,파라미터!$B$6)&gt;=3),0,INT((3-MOD($A121,파라미터!$B$6)-1)/파라미터!$B$6)+1)</f>
        <v/>
      </c>
      <c r="I121" s="15">
        <f>((H121*파라미터!$B$5-파라미터!$B$5*(IF(H121&gt;=1,파라미터!$B$10,0)+IF(H121&gt;=2,파라미터!$B$11,0)+IF(H121&gt;=3,파라미터!$B$12,0)))+MAX(0,파라미터!$B$5*(IF(H121&gt;=1,파라미터!$B$10,0)+IF(H121&gt;=2,파라미터!$B$11,0)+IF(H121&gt;=3,파라미터!$B$12,0))-파라미터!$B$15))*파라미터!$B$16-H121*파라미터!$B$7-MAX(0,파라미터!$B$19+파라미터!$B$20-MIN(파라미터!$B$15,파라미터!$B$5*(IF(H121&gt;=1,파라미터!$B$10,0)+IF(H121&gt;=2,파라미터!$B$11,0)+IF(H121&gt;=3,파라미터!$B$12,0))))-IF(MOD($A121-1,파라미터!$B$22)=0,파라미터!$B$21,0)</f>
        <v/>
      </c>
      <c r="J121" s="15">
        <f>MAX(0,J120+I121)</f>
        <v/>
      </c>
      <c r="K121" s="14">
        <f>IF(OR($A121&lt;파라미터!$B$6,MOD($A121,파라미터!$B$6)&gt;=5),0,INT((5-MOD($A121,파라미터!$B$6)-1)/파라미터!$B$6)+1)</f>
        <v/>
      </c>
      <c r="L121" s="15">
        <f>((K121*파라미터!$B$5-파라미터!$B$5*(IF(K121&gt;=1,파라미터!$B$10,0)+IF(K121&gt;=2,파라미터!$B$11,0)+IF(K121&gt;=3,파라미터!$B$12,0)))+MAX(0,파라미터!$B$5*(IF(K121&gt;=1,파라미터!$B$10,0)+IF(K121&gt;=2,파라미터!$B$11,0)+IF(K121&gt;=3,파라미터!$B$12,0))-파라미터!$B$15))*파라미터!$B$16-K121*파라미터!$B$7-MAX(0,파라미터!$B$19+파라미터!$B$20-MIN(파라미터!$B$15,파라미터!$B$5*(IF(K121&gt;=1,파라미터!$B$10,0)+IF(K121&gt;=2,파라미터!$B$11,0)+IF(K121&gt;=3,파라미터!$B$12,0))))-IF(MOD($A121-1,파라미터!$B$22)=0,파라미터!$B$21,0)</f>
        <v/>
      </c>
      <c r="M121" s="15">
        <f>MAX(0,M120+L121)</f>
        <v/>
      </c>
      <c r="N121" s="14">
        <f>IF(OR($A121&lt;파라미터!$B$6,MOD($A121,파라미터!$B$6)&gt;=10),0,INT((10-MOD($A121,파라미터!$B$6)-1)/파라미터!$B$6)+1)</f>
        <v/>
      </c>
      <c r="O121" s="15">
        <f>((N121*파라미터!$B$5-파라미터!$B$5*(IF(N121&gt;=1,파라미터!$B$10,0)+IF(N121&gt;=2,파라미터!$B$11,0)+IF(N121&gt;=3,파라미터!$B$12,0)))+MAX(0,파라미터!$B$5*(IF(N121&gt;=1,파라미터!$B$10,0)+IF(N121&gt;=2,파라미터!$B$11,0)+IF(N121&gt;=3,파라미터!$B$12,0))-파라미터!$B$15))*파라미터!$B$16-N121*파라미터!$B$7-MAX(0,파라미터!$B$19+파라미터!$B$20-MIN(파라미터!$B$15,파라미터!$B$5*(IF(N121&gt;=1,파라미터!$B$10,0)+IF(N121&gt;=2,파라미터!$B$11,0)+IF(N121&gt;=3,파라미터!$B$12,0))))-IF(MOD($A121-1,파라미터!$B$22)=0,파라미터!$B$21,0)</f>
        <v/>
      </c>
      <c r="P121" s="15">
        <f>MAX(0,P120+O121)</f>
        <v/>
      </c>
      <c r="Q121" s="14">
        <f>IF(OR($A121&lt;파라미터!$B$6,MOD($A121,파라미터!$B$6)&gt;=20),0,INT((20-MOD($A121,파라미터!$B$6)-1)/파라미터!$B$6)+1)</f>
        <v/>
      </c>
      <c r="R121" s="15">
        <f>((Q121*파라미터!$B$5-파라미터!$B$5*(IF(Q121&gt;=1,파라미터!$B$10,0)+IF(Q121&gt;=2,파라미터!$B$11,0)+IF(Q121&gt;=3,파라미터!$B$12,0)))+MAX(0,파라미터!$B$5*(IF(Q121&gt;=1,파라미터!$B$10,0)+IF(Q121&gt;=2,파라미터!$B$11,0)+IF(Q121&gt;=3,파라미터!$B$12,0))-파라미터!$B$15))*파라미터!$B$16-Q121*파라미터!$B$7-MAX(0,파라미터!$B$19+파라미터!$B$20-MIN(파라미터!$B$15,파라미터!$B$5*(IF(Q121&gt;=1,파라미터!$B$10,0)+IF(Q121&gt;=2,파라미터!$B$11,0)+IF(Q121&gt;=3,파라미터!$B$12,0))))-IF(MOD($A121-1,파라미터!$B$22)=0,파라미터!$B$21,0)</f>
        <v/>
      </c>
      <c r="S121" s="15">
        <f>MAX(0,S120+R121)</f>
        <v/>
      </c>
    </row>
    <row r="122">
      <c r="A122" s="13" t="n">
        <v>118</v>
      </c>
      <c r="B122" s="14">
        <f>IF(OR($A122&lt;파라미터!$B$6,MOD($A122,파라미터!$B$6)&gt;=1),0,INT((1-MOD($A122,파라미터!$B$6)-1)/파라미터!$B$6)+1)</f>
        <v/>
      </c>
      <c r="C122" s="15">
        <f>((B122*파라미터!$B$5-파라미터!$B$5*(IF(B122&gt;=1,파라미터!$B$10,0)+IF(B122&gt;=2,파라미터!$B$11,0)+IF(B122&gt;=3,파라미터!$B$12,0)))+MAX(0,파라미터!$B$5*(IF(B122&gt;=1,파라미터!$B$10,0)+IF(B122&gt;=2,파라미터!$B$11,0)+IF(B122&gt;=3,파라미터!$B$12,0))-파라미터!$B$15))*파라미터!$B$16-B122*파라미터!$B$7-MAX(0,파라미터!$B$19+파라미터!$B$20-MIN(파라미터!$B$15,파라미터!$B$5*(IF(B122&gt;=1,파라미터!$B$10,0)+IF(B122&gt;=2,파라미터!$B$11,0)+IF(B122&gt;=3,파라미터!$B$12,0))))-IF(MOD($A122-1,파라미터!$B$22)=0,파라미터!$B$21,0)</f>
        <v/>
      </c>
      <c r="D122" s="15">
        <f>MAX(0,D121+C122)</f>
        <v/>
      </c>
      <c r="E122" s="14">
        <f>IF(OR($A122&lt;파라미터!$B$6,MOD($A122,파라미터!$B$6)&gt;=2),0,INT((2-MOD($A122,파라미터!$B$6)-1)/파라미터!$B$6)+1)</f>
        <v/>
      </c>
      <c r="F122" s="15">
        <f>((E122*파라미터!$B$5-파라미터!$B$5*(IF(E122&gt;=1,파라미터!$B$10,0)+IF(E122&gt;=2,파라미터!$B$11,0)+IF(E122&gt;=3,파라미터!$B$12,0)))+MAX(0,파라미터!$B$5*(IF(E122&gt;=1,파라미터!$B$10,0)+IF(E122&gt;=2,파라미터!$B$11,0)+IF(E122&gt;=3,파라미터!$B$12,0))-파라미터!$B$15))*파라미터!$B$16-E122*파라미터!$B$7-MAX(0,파라미터!$B$19+파라미터!$B$20-MIN(파라미터!$B$15,파라미터!$B$5*(IF(E122&gt;=1,파라미터!$B$10,0)+IF(E122&gt;=2,파라미터!$B$11,0)+IF(E122&gt;=3,파라미터!$B$12,0))))-IF(MOD($A122-1,파라미터!$B$22)=0,파라미터!$B$21,0)</f>
        <v/>
      </c>
      <c r="G122" s="15">
        <f>MAX(0,G121+F122)</f>
        <v/>
      </c>
      <c r="H122" s="14">
        <f>IF(OR($A122&lt;파라미터!$B$6,MOD($A122,파라미터!$B$6)&gt;=3),0,INT((3-MOD($A122,파라미터!$B$6)-1)/파라미터!$B$6)+1)</f>
        <v/>
      </c>
      <c r="I122" s="15">
        <f>((H122*파라미터!$B$5-파라미터!$B$5*(IF(H122&gt;=1,파라미터!$B$10,0)+IF(H122&gt;=2,파라미터!$B$11,0)+IF(H122&gt;=3,파라미터!$B$12,0)))+MAX(0,파라미터!$B$5*(IF(H122&gt;=1,파라미터!$B$10,0)+IF(H122&gt;=2,파라미터!$B$11,0)+IF(H122&gt;=3,파라미터!$B$12,0))-파라미터!$B$15))*파라미터!$B$16-H122*파라미터!$B$7-MAX(0,파라미터!$B$19+파라미터!$B$20-MIN(파라미터!$B$15,파라미터!$B$5*(IF(H122&gt;=1,파라미터!$B$10,0)+IF(H122&gt;=2,파라미터!$B$11,0)+IF(H122&gt;=3,파라미터!$B$12,0))))-IF(MOD($A122-1,파라미터!$B$22)=0,파라미터!$B$21,0)</f>
        <v/>
      </c>
      <c r="J122" s="15">
        <f>MAX(0,J121+I122)</f>
        <v/>
      </c>
      <c r="K122" s="14">
        <f>IF(OR($A122&lt;파라미터!$B$6,MOD($A122,파라미터!$B$6)&gt;=5),0,INT((5-MOD($A122,파라미터!$B$6)-1)/파라미터!$B$6)+1)</f>
        <v/>
      </c>
      <c r="L122" s="15">
        <f>((K122*파라미터!$B$5-파라미터!$B$5*(IF(K122&gt;=1,파라미터!$B$10,0)+IF(K122&gt;=2,파라미터!$B$11,0)+IF(K122&gt;=3,파라미터!$B$12,0)))+MAX(0,파라미터!$B$5*(IF(K122&gt;=1,파라미터!$B$10,0)+IF(K122&gt;=2,파라미터!$B$11,0)+IF(K122&gt;=3,파라미터!$B$12,0))-파라미터!$B$15))*파라미터!$B$16-K122*파라미터!$B$7-MAX(0,파라미터!$B$19+파라미터!$B$20-MIN(파라미터!$B$15,파라미터!$B$5*(IF(K122&gt;=1,파라미터!$B$10,0)+IF(K122&gt;=2,파라미터!$B$11,0)+IF(K122&gt;=3,파라미터!$B$12,0))))-IF(MOD($A122-1,파라미터!$B$22)=0,파라미터!$B$21,0)</f>
        <v/>
      </c>
      <c r="M122" s="15">
        <f>MAX(0,M121+L122)</f>
        <v/>
      </c>
      <c r="N122" s="14">
        <f>IF(OR($A122&lt;파라미터!$B$6,MOD($A122,파라미터!$B$6)&gt;=10),0,INT((10-MOD($A122,파라미터!$B$6)-1)/파라미터!$B$6)+1)</f>
        <v/>
      </c>
      <c r="O122" s="15">
        <f>((N122*파라미터!$B$5-파라미터!$B$5*(IF(N122&gt;=1,파라미터!$B$10,0)+IF(N122&gt;=2,파라미터!$B$11,0)+IF(N122&gt;=3,파라미터!$B$12,0)))+MAX(0,파라미터!$B$5*(IF(N122&gt;=1,파라미터!$B$10,0)+IF(N122&gt;=2,파라미터!$B$11,0)+IF(N122&gt;=3,파라미터!$B$12,0))-파라미터!$B$15))*파라미터!$B$16-N122*파라미터!$B$7-MAX(0,파라미터!$B$19+파라미터!$B$20-MIN(파라미터!$B$15,파라미터!$B$5*(IF(N122&gt;=1,파라미터!$B$10,0)+IF(N122&gt;=2,파라미터!$B$11,0)+IF(N122&gt;=3,파라미터!$B$12,0))))-IF(MOD($A122-1,파라미터!$B$22)=0,파라미터!$B$21,0)</f>
        <v/>
      </c>
      <c r="P122" s="15">
        <f>MAX(0,P121+O122)</f>
        <v/>
      </c>
      <c r="Q122" s="14">
        <f>IF(OR($A122&lt;파라미터!$B$6,MOD($A122,파라미터!$B$6)&gt;=20),0,INT((20-MOD($A122,파라미터!$B$6)-1)/파라미터!$B$6)+1)</f>
        <v/>
      </c>
      <c r="R122" s="15">
        <f>((Q122*파라미터!$B$5-파라미터!$B$5*(IF(Q122&gt;=1,파라미터!$B$10,0)+IF(Q122&gt;=2,파라미터!$B$11,0)+IF(Q122&gt;=3,파라미터!$B$12,0)))+MAX(0,파라미터!$B$5*(IF(Q122&gt;=1,파라미터!$B$10,0)+IF(Q122&gt;=2,파라미터!$B$11,0)+IF(Q122&gt;=3,파라미터!$B$12,0))-파라미터!$B$15))*파라미터!$B$16-Q122*파라미터!$B$7-MAX(0,파라미터!$B$19+파라미터!$B$20-MIN(파라미터!$B$15,파라미터!$B$5*(IF(Q122&gt;=1,파라미터!$B$10,0)+IF(Q122&gt;=2,파라미터!$B$11,0)+IF(Q122&gt;=3,파라미터!$B$12,0))))-IF(MOD($A122-1,파라미터!$B$22)=0,파라미터!$B$21,0)</f>
        <v/>
      </c>
      <c r="S122" s="15">
        <f>MAX(0,S121+R122)</f>
        <v/>
      </c>
    </row>
    <row r="123">
      <c r="A123" s="13" t="n">
        <v>119</v>
      </c>
      <c r="B123" s="14">
        <f>IF(OR($A123&lt;파라미터!$B$6,MOD($A123,파라미터!$B$6)&gt;=1),0,INT((1-MOD($A123,파라미터!$B$6)-1)/파라미터!$B$6)+1)</f>
        <v/>
      </c>
      <c r="C123" s="15">
        <f>((B123*파라미터!$B$5-파라미터!$B$5*(IF(B123&gt;=1,파라미터!$B$10,0)+IF(B123&gt;=2,파라미터!$B$11,0)+IF(B123&gt;=3,파라미터!$B$12,0)))+MAX(0,파라미터!$B$5*(IF(B123&gt;=1,파라미터!$B$10,0)+IF(B123&gt;=2,파라미터!$B$11,0)+IF(B123&gt;=3,파라미터!$B$12,0))-파라미터!$B$15))*파라미터!$B$16-B123*파라미터!$B$7-MAX(0,파라미터!$B$19+파라미터!$B$20-MIN(파라미터!$B$15,파라미터!$B$5*(IF(B123&gt;=1,파라미터!$B$10,0)+IF(B123&gt;=2,파라미터!$B$11,0)+IF(B123&gt;=3,파라미터!$B$12,0))))-IF(MOD($A123-1,파라미터!$B$22)=0,파라미터!$B$21,0)</f>
        <v/>
      </c>
      <c r="D123" s="15">
        <f>MAX(0,D122+C123)</f>
        <v/>
      </c>
      <c r="E123" s="14">
        <f>IF(OR($A123&lt;파라미터!$B$6,MOD($A123,파라미터!$B$6)&gt;=2),0,INT((2-MOD($A123,파라미터!$B$6)-1)/파라미터!$B$6)+1)</f>
        <v/>
      </c>
      <c r="F123" s="15">
        <f>((E123*파라미터!$B$5-파라미터!$B$5*(IF(E123&gt;=1,파라미터!$B$10,0)+IF(E123&gt;=2,파라미터!$B$11,0)+IF(E123&gt;=3,파라미터!$B$12,0)))+MAX(0,파라미터!$B$5*(IF(E123&gt;=1,파라미터!$B$10,0)+IF(E123&gt;=2,파라미터!$B$11,0)+IF(E123&gt;=3,파라미터!$B$12,0))-파라미터!$B$15))*파라미터!$B$16-E123*파라미터!$B$7-MAX(0,파라미터!$B$19+파라미터!$B$20-MIN(파라미터!$B$15,파라미터!$B$5*(IF(E123&gt;=1,파라미터!$B$10,0)+IF(E123&gt;=2,파라미터!$B$11,0)+IF(E123&gt;=3,파라미터!$B$12,0))))-IF(MOD($A123-1,파라미터!$B$22)=0,파라미터!$B$21,0)</f>
        <v/>
      </c>
      <c r="G123" s="15">
        <f>MAX(0,G122+F123)</f>
        <v/>
      </c>
      <c r="H123" s="14">
        <f>IF(OR($A123&lt;파라미터!$B$6,MOD($A123,파라미터!$B$6)&gt;=3),0,INT((3-MOD($A123,파라미터!$B$6)-1)/파라미터!$B$6)+1)</f>
        <v/>
      </c>
      <c r="I123" s="15">
        <f>((H123*파라미터!$B$5-파라미터!$B$5*(IF(H123&gt;=1,파라미터!$B$10,0)+IF(H123&gt;=2,파라미터!$B$11,0)+IF(H123&gt;=3,파라미터!$B$12,0)))+MAX(0,파라미터!$B$5*(IF(H123&gt;=1,파라미터!$B$10,0)+IF(H123&gt;=2,파라미터!$B$11,0)+IF(H123&gt;=3,파라미터!$B$12,0))-파라미터!$B$15))*파라미터!$B$16-H123*파라미터!$B$7-MAX(0,파라미터!$B$19+파라미터!$B$20-MIN(파라미터!$B$15,파라미터!$B$5*(IF(H123&gt;=1,파라미터!$B$10,0)+IF(H123&gt;=2,파라미터!$B$11,0)+IF(H123&gt;=3,파라미터!$B$12,0))))-IF(MOD($A123-1,파라미터!$B$22)=0,파라미터!$B$21,0)</f>
        <v/>
      </c>
      <c r="J123" s="15">
        <f>MAX(0,J122+I123)</f>
        <v/>
      </c>
      <c r="K123" s="14">
        <f>IF(OR($A123&lt;파라미터!$B$6,MOD($A123,파라미터!$B$6)&gt;=5),0,INT((5-MOD($A123,파라미터!$B$6)-1)/파라미터!$B$6)+1)</f>
        <v/>
      </c>
      <c r="L123" s="15">
        <f>((K123*파라미터!$B$5-파라미터!$B$5*(IF(K123&gt;=1,파라미터!$B$10,0)+IF(K123&gt;=2,파라미터!$B$11,0)+IF(K123&gt;=3,파라미터!$B$12,0)))+MAX(0,파라미터!$B$5*(IF(K123&gt;=1,파라미터!$B$10,0)+IF(K123&gt;=2,파라미터!$B$11,0)+IF(K123&gt;=3,파라미터!$B$12,0))-파라미터!$B$15))*파라미터!$B$16-K123*파라미터!$B$7-MAX(0,파라미터!$B$19+파라미터!$B$20-MIN(파라미터!$B$15,파라미터!$B$5*(IF(K123&gt;=1,파라미터!$B$10,0)+IF(K123&gt;=2,파라미터!$B$11,0)+IF(K123&gt;=3,파라미터!$B$12,0))))-IF(MOD($A123-1,파라미터!$B$22)=0,파라미터!$B$21,0)</f>
        <v/>
      </c>
      <c r="M123" s="15">
        <f>MAX(0,M122+L123)</f>
        <v/>
      </c>
      <c r="N123" s="14">
        <f>IF(OR($A123&lt;파라미터!$B$6,MOD($A123,파라미터!$B$6)&gt;=10),0,INT((10-MOD($A123,파라미터!$B$6)-1)/파라미터!$B$6)+1)</f>
        <v/>
      </c>
      <c r="O123" s="15">
        <f>((N123*파라미터!$B$5-파라미터!$B$5*(IF(N123&gt;=1,파라미터!$B$10,0)+IF(N123&gt;=2,파라미터!$B$11,0)+IF(N123&gt;=3,파라미터!$B$12,0)))+MAX(0,파라미터!$B$5*(IF(N123&gt;=1,파라미터!$B$10,0)+IF(N123&gt;=2,파라미터!$B$11,0)+IF(N123&gt;=3,파라미터!$B$12,0))-파라미터!$B$15))*파라미터!$B$16-N123*파라미터!$B$7-MAX(0,파라미터!$B$19+파라미터!$B$20-MIN(파라미터!$B$15,파라미터!$B$5*(IF(N123&gt;=1,파라미터!$B$10,0)+IF(N123&gt;=2,파라미터!$B$11,0)+IF(N123&gt;=3,파라미터!$B$12,0))))-IF(MOD($A123-1,파라미터!$B$22)=0,파라미터!$B$21,0)</f>
        <v/>
      </c>
      <c r="P123" s="15">
        <f>MAX(0,P122+O123)</f>
        <v/>
      </c>
      <c r="Q123" s="14">
        <f>IF(OR($A123&lt;파라미터!$B$6,MOD($A123,파라미터!$B$6)&gt;=20),0,INT((20-MOD($A123,파라미터!$B$6)-1)/파라미터!$B$6)+1)</f>
        <v/>
      </c>
      <c r="R123" s="15">
        <f>((Q123*파라미터!$B$5-파라미터!$B$5*(IF(Q123&gt;=1,파라미터!$B$10,0)+IF(Q123&gt;=2,파라미터!$B$11,0)+IF(Q123&gt;=3,파라미터!$B$12,0)))+MAX(0,파라미터!$B$5*(IF(Q123&gt;=1,파라미터!$B$10,0)+IF(Q123&gt;=2,파라미터!$B$11,0)+IF(Q123&gt;=3,파라미터!$B$12,0))-파라미터!$B$15))*파라미터!$B$16-Q123*파라미터!$B$7-MAX(0,파라미터!$B$19+파라미터!$B$20-MIN(파라미터!$B$15,파라미터!$B$5*(IF(Q123&gt;=1,파라미터!$B$10,0)+IF(Q123&gt;=2,파라미터!$B$11,0)+IF(Q123&gt;=3,파라미터!$B$12,0))))-IF(MOD($A123-1,파라미터!$B$22)=0,파라미터!$B$21,0)</f>
        <v/>
      </c>
      <c r="S123" s="15">
        <f>MAX(0,S122+R123)</f>
        <v/>
      </c>
    </row>
    <row r="124">
      <c r="A124" s="13" t="n">
        <v>120</v>
      </c>
      <c r="B124" s="14">
        <f>IF(OR($A124&lt;파라미터!$B$6,MOD($A124,파라미터!$B$6)&gt;=1),0,INT((1-MOD($A124,파라미터!$B$6)-1)/파라미터!$B$6)+1)</f>
        <v/>
      </c>
      <c r="C124" s="15">
        <f>((B124*파라미터!$B$5-파라미터!$B$5*(IF(B124&gt;=1,파라미터!$B$10,0)+IF(B124&gt;=2,파라미터!$B$11,0)+IF(B124&gt;=3,파라미터!$B$12,0)))+MAX(0,파라미터!$B$5*(IF(B124&gt;=1,파라미터!$B$10,0)+IF(B124&gt;=2,파라미터!$B$11,0)+IF(B124&gt;=3,파라미터!$B$12,0))-파라미터!$B$15))*파라미터!$B$16-B124*파라미터!$B$7-MAX(0,파라미터!$B$19+파라미터!$B$20-MIN(파라미터!$B$15,파라미터!$B$5*(IF(B124&gt;=1,파라미터!$B$10,0)+IF(B124&gt;=2,파라미터!$B$11,0)+IF(B124&gt;=3,파라미터!$B$12,0))))-IF(MOD($A124-1,파라미터!$B$22)=0,파라미터!$B$21,0)</f>
        <v/>
      </c>
      <c r="D124" s="15">
        <f>MAX(0,D123+C124)</f>
        <v/>
      </c>
      <c r="E124" s="14">
        <f>IF(OR($A124&lt;파라미터!$B$6,MOD($A124,파라미터!$B$6)&gt;=2),0,INT((2-MOD($A124,파라미터!$B$6)-1)/파라미터!$B$6)+1)</f>
        <v/>
      </c>
      <c r="F124" s="15">
        <f>((E124*파라미터!$B$5-파라미터!$B$5*(IF(E124&gt;=1,파라미터!$B$10,0)+IF(E124&gt;=2,파라미터!$B$11,0)+IF(E124&gt;=3,파라미터!$B$12,0)))+MAX(0,파라미터!$B$5*(IF(E124&gt;=1,파라미터!$B$10,0)+IF(E124&gt;=2,파라미터!$B$11,0)+IF(E124&gt;=3,파라미터!$B$12,0))-파라미터!$B$15))*파라미터!$B$16-E124*파라미터!$B$7-MAX(0,파라미터!$B$19+파라미터!$B$20-MIN(파라미터!$B$15,파라미터!$B$5*(IF(E124&gt;=1,파라미터!$B$10,0)+IF(E124&gt;=2,파라미터!$B$11,0)+IF(E124&gt;=3,파라미터!$B$12,0))))-IF(MOD($A124-1,파라미터!$B$22)=0,파라미터!$B$21,0)</f>
        <v/>
      </c>
      <c r="G124" s="15">
        <f>MAX(0,G123+F124)</f>
        <v/>
      </c>
      <c r="H124" s="14">
        <f>IF(OR($A124&lt;파라미터!$B$6,MOD($A124,파라미터!$B$6)&gt;=3),0,INT((3-MOD($A124,파라미터!$B$6)-1)/파라미터!$B$6)+1)</f>
        <v/>
      </c>
      <c r="I124" s="15">
        <f>((H124*파라미터!$B$5-파라미터!$B$5*(IF(H124&gt;=1,파라미터!$B$10,0)+IF(H124&gt;=2,파라미터!$B$11,0)+IF(H124&gt;=3,파라미터!$B$12,0)))+MAX(0,파라미터!$B$5*(IF(H124&gt;=1,파라미터!$B$10,0)+IF(H124&gt;=2,파라미터!$B$11,0)+IF(H124&gt;=3,파라미터!$B$12,0))-파라미터!$B$15))*파라미터!$B$16-H124*파라미터!$B$7-MAX(0,파라미터!$B$19+파라미터!$B$20-MIN(파라미터!$B$15,파라미터!$B$5*(IF(H124&gt;=1,파라미터!$B$10,0)+IF(H124&gt;=2,파라미터!$B$11,0)+IF(H124&gt;=3,파라미터!$B$12,0))))-IF(MOD($A124-1,파라미터!$B$22)=0,파라미터!$B$21,0)</f>
        <v/>
      </c>
      <c r="J124" s="15">
        <f>MAX(0,J123+I124)</f>
        <v/>
      </c>
      <c r="K124" s="14">
        <f>IF(OR($A124&lt;파라미터!$B$6,MOD($A124,파라미터!$B$6)&gt;=5),0,INT((5-MOD($A124,파라미터!$B$6)-1)/파라미터!$B$6)+1)</f>
        <v/>
      </c>
      <c r="L124" s="15">
        <f>((K124*파라미터!$B$5-파라미터!$B$5*(IF(K124&gt;=1,파라미터!$B$10,0)+IF(K124&gt;=2,파라미터!$B$11,0)+IF(K124&gt;=3,파라미터!$B$12,0)))+MAX(0,파라미터!$B$5*(IF(K124&gt;=1,파라미터!$B$10,0)+IF(K124&gt;=2,파라미터!$B$11,0)+IF(K124&gt;=3,파라미터!$B$12,0))-파라미터!$B$15))*파라미터!$B$16-K124*파라미터!$B$7-MAX(0,파라미터!$B$19+파라미터!$B$20-MIN(파라미터!$B$15,파라미터!$B$5*(IF(K124&gt;=1,파라미터!$B$10,0)+IF(K124&gt;=2,파라미터!$B$11,0)+IF(K124&gt;=3,파라미터!$B$12,0))))-IF(MOD($A124-1,파라미터!$B$22)=0,파라미터!$B$21,0)</f>
        <v/>
      </c>
      <c r="M124" s="15">
        <f>MAX(0,M123+L124)</f>
        <v/>
      </c>
      <c r="N124" s="14">
        <f>IF(OR($A124&lt;파라미터!$B$6,MOD($A124,파라미터!$B$6)&gt;=10),0,INT((10-MOD($A124,파라미터!$B$6)-1)/파라미터!$B$6)+1)</f>
        <v/>
      </c>
      <c r="O124" s="15">
        <f>((N124*파라미터!$B$5-파라미터!$B$5*(IF(N124&gt;=1,파라미터!$B$10,0)+IF(N124&gt;=2,파라미터!$B$11,0)+IF(N124&gt;=3,파라미터!$B$12,0)))+MAX(0,파라미터!$B$5*(IF(N124&gt;=1,파라미터!$B$10,0)+IF(N124&gt;=2,파라미터!$B$11,0)+IF(N124&gt;=3,파라미터!$B$12,0))-파라미터!$B$15))*파라미터!$B$16-N124*파라미터!$B$7-MAX(0,파라미터!$B$19+파라미터!$B$20-MIN(파라미터!$B$15,파라미터!$B$5*(IF(N124&gt;=1,파라미터!$B$10,0)+IF(N124&gt;=2,파라미터!$B$11,0)+IF(N124&gt;=3,파라미터!$B$12,0))))-IF(MOD($A124-1,파라미터!$B$22)=0,파라미터!$B$21,0)</f>
        <v/>
      </c>
      <c r="P124" s="15">
        <f>MAX(0,P123+O124)</f>
        <v/>
      </c>
      <c r="Q124" s="14">
        <f>IF(OR($A124&lt;파라미터!$B$6,MOD($A124,파라미터!$B$6)&gt;=20),0,INT((20-MOD($A124,파라미터!$B$6)-1)/파라미터!$B$6)+1)</f>
        <v/>
      </c>
      <c r="R124" s="15">
        <f>((Q124*파라미터!$B$5-파라미터!$B$5*(IF(Q124&gt;=1,파라미터!$B$10,0)+IF(Q124&gt;=2,파라미터!$B$11,0)+IF(Q124&gt;=3,파라미터!$B$12,0)))+MAX(0,파라미터!$B$5*(IF(Q124&gt;=1,파라미터!$B$10,0)+IF(Q124&gt;=2,파라미터!$B$11,0)+IF(Q124&gt;=3,파라미터!$B$12,0))-파라미터!$B$15))*파라미터!$B$16-Q124*파라미터!$B$7-MAX(0,파라미터!$B$19+파라미터!$B$20-MIN(파라미터!$B$15,파라미터!$B$5*(IF(Q124&gt;=1,파라미터!$B$10,0)+IF(Q124&gt;=2,파라미터!$B$11,0)+IF(Q124&gt;=3,파라미터!$B$12,0))))-IF(MOD($A124-1,파라미터!$B$22)=0,파라미터!$B$21,0)</f>
        <v/>
      </c>
      <c r="S124" s="15">
        <f>MAX(0,S123+R124)</f>
        <v/>
      </c>
    </row>
  </sheetData>
  <mergeCells count="6">
    <mergeCell ref="B3:D3"/>
    <mergeCell ref="E3:G3"/>
    <mergeCell ref="K3:M3"/>
    <mergeCell ref="H3:J3"/>
    <mergeCell ref="N3:P3"/>
    <mergeCell ref="Q3:S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2" customWidth="1" min="7" max="7"/>
    <col width="12" customWidth="1" min="8" max="8"/>
    <col width="15" customWidth="1" min="9" max="9"/>
    <col width="8" customWidth="1" min="10" max="10"/>
  </cols>
  <sheetData>
    <row r="1">
      <c r="A1" s="1" t="inlineStr">
        <is>
          <t>한 판을 하루씩 뜯어보기</t>
        </is>
      </c>
    </row>
    <row r="3">
      <c r="A3" s="11" t="inlineStr">
        <is>
          <t>시루 수</t>
        </is>
      </c>
      <c r="B3" s="10" t="n">
        <v>5</v>
      </c>
      <c r="C3" s="2" t="inlineStr">
        <is>
          <t>← 여기를 바꾸면 아래가 전부 바뀝니다</t>
        </is>
      </c>
    </row>
    <row r="4">
      <c r="A4" s="11" t="inlineStr">
        <is>
          <t>운용</t>
        </is>
      </c>
      <c r="B4" s="10" t="n">
        <v>1</v>
      </c>
      <c r="C4" s="2" t="inlineStr">
        <is>
          <t>1 = 분배(하루씩 어긋나게)  ·  2 = 같은 날 몰아서</t>
        </is>
      </c>
    </row>
    <row r="6">
      <c r="A6" s="12" t="inlineStr">
        <is>
          <t>일차</t>
        </is>
      </c>
      <c r="B6" s="12" t="inlineStr">
        <is>
          <t>거둔 시루</t>
        </is>
      </c>
      <c r="C6" s="12" t="inlineStr">
        <is>
          <t>곳간(밥)</t>
        </is>
      </c>
      <c r="D6" s="12" t="inlineStr">
        <is>
          <t>잉여(현금)</t>
        </is>
      </c>
      <c r="E6" s="12" t="inlineStr">
        <is>
          <t>씨앗값</t>
        </is>
      </c>
      <c r="F6" s="12" t="inlineStr">
        <is>
          <t>살림</t>
        </is>
      </c>
      <c r="G6" s="12" t="inlineStr">
        <is>
          <t>월세</t>
        </is>
      </c>
      <c r="H6" s="12" t="inlineStr">
        <is>
          <t>그날 증감</t>
        </is>
      </c>
      <c r="I6" s="12" t="inlineStr">
        <is>
          <t>누적 소지금</t>
        </is>
      </c>
      <c r="J6" s="12" t="inlineStr">
        <is>
          <t>쓴 손</t>
        </is>
      </c>
    </row>
    <row r="7">
      <c r="A7" s="14" t="n">
        <v>1</v>
      </c>
      <c r="B7" s="14">
        <f>IF($B$4=2,IF(AND(MOD($A7,파라미터!$B$6)=0,$A7&gt;=파라미터!$B$6),$B$3,0),IF(OR($A7&lt;파라미터!$B$6,MOD($A7,파라미터!$B$6)&gt;=$B$3),0,INT(($B$3-MOD($A7,파라미터!$B$6)-1)/파라미터!$B$6)+1))</f>
        <v/>
      </c>
      <c r="C7" s="15">
        <f>MIN(파라미터!$B$15,파라미터!$B$5*(IF(B7&gt;=1,파라미터!$B$10,0)+IF(B7&gt;=2,파라미터!$B$11,0)+IF(B7&gt;=3,파라미터!$B$12,0)))</f>
        <v/>
      </c>
      <c r="D7" s="15">
        <f>((B7*파라미터!$B$5-파라미터!$B$5*(IF(B7&gt;=1,파라미터!$B$10,0)+IF(B7&gt;=2,파라미터!$B$11,0)+IF(B7&gt;=3,파라미터!$B$12,0)))+MAX(0,파라미터!$B$5*(IF(B7&gt;=1,파라미터!$B$10,0)+IF(B7&gt;=2,파라미터!$B$11,0)+IF(B7&gt;=3,파라미터!$B$12,0))-파라미터!$B$15))*파라미터!$B$16</f>
        <v/>
      </c>
      <c r="E7" s="15">
        <f>B7*파라미터!$B$7</f>
        <v/>
      </c>
      <c r="F7" s="15">
        <f>MAX(0,파라미터!$B$19+파라미터!$B$20-C7)</f>
        <v/>
      </c>
      <c r="G7" s="15">
        <f>IF(MOD($A7-1,파라미터!$B$22)=0,파라미터!$B$21,0)</f>
        <v/>
      </c>
      <c r="H7" s="15">
        <f>D7-E7-F7-G7</f>
        <v/>
      </c>
      <c r="I7" s="15">
        <f>MAX(0,파라미터!$B$18+H7)</f>
        <v/>
      </c>
      <c r="J7" s="14">
        <f>B7*파라미터!$B$25</f>
        <v/>
      </c>
    </row>
    <row r="8">
      <c r="A8" s="14" t="n">
        <v>2</v>
      </c>
      <c r="B8" s="14">
        <f>IF($B$4=2,IF(AND(MOD($A8,파라미터!$B$6)=0,$A8&gt;=파라미터!$B$6),$B$3,0),IF(OR($A8&lt;파라미터!$B$6,MOD($A8,파라미터!$B$6)&gt;=$B$3),0,INT(($B$3-MOD($A8,파라미터!$B$6)-1)/파라미터!$B$6)+1))</f>
        <v/>
      </c>
      <c r="C8" s="15">
        <f>MIN(파라미터!$B$15,파라미터!$B$5*(IF(B8&gt;=1,파라미터!$B$10,0)+IF(B8&gt;=2,파라미터!$B$11,0)+IF(B8&gt;=3,파라미터!$B$12,0)))</f>
        <v/>
      </c>
      <c r="D8" s="15">
        <f>((B8*파라미터!$B$5-파라미터!$B$5*(IF(B8&gt;=1,파라미터!$B$10,0)+IF(B8&gt;=2,파라미터!$B$11,0)+IF(B8&gt;=3,파라미터!$B$12,0)))+MAX(0,파라미터!$B$5*(IF(B8&gt;=1,파라미터!$B$10,0)+IF(B8&gt;=2,파라미터!$B$11,0)+IF(B8&gt;=3,파라미터!$B$12,0))-파라미터!$B$15))*파라미터!$B$16</f>
        <v/>
      </c>
      <c r="E8" s="15">
        <f>B8*파라미터!$B$7</f>
        <v/>
      </c>
      <c r="F8" s="15">
        <f>MAX(0,파라미터!$B$19+파라미터!$B$20-C8)</f>
        <v/>
      </c>
      <c r="G8" s="15">
        <f>IF(MOD($A8-1,파라미터!$B$22)=0,파라미터!$B$21,0)</f>
        <v/>
      </c>
      <c r="H8" s="15">
        <f>D8-E8-F8-G8</f>
        <v/>
      </c>
      <c r="I8" s="15">
        <f>MAX(0,I7+H8)</f>
        <v/>
      </c>
      <c r="J8" s="14">
        <f>B8*파라미터!$B$25</f>
        <v/>
      </c>
    </row>
    <row r="9">
      <c r="A9" s="14" t="n">
        <v>3</v>
      </c>
      <c r="B9" s="14">
        <f>IF($B$4=2,IF(AND(MOD($A9,파라미터!$B$6)=0,$A9&gt;=파라미터!$B$6),$B$3,0),IF(OR($A9&lt;파라미터!$B$6,MOD($A9,파라미터!$B$6)&gt;=$B$3),0,INT(($B$3-MOD($A9,파라미터!$B$6)-1)/파라미터!$B$6)+1))</f>
        <v/>
      </c>
      <c r="C9" s="15">
        <f>MIN(파라미터!$B$15,파라미터!$B$5*(IF(B9&gt;=1,파라미터!$B$10,0)+IF(B9&gt;=2,파라미터!$B$11,0)+IF(B9&gt;=3,파라미터!$B$12,0)))</f>
        <v/>
      </c>
      <c r="D9" s="15">
        <f>((B9*파라미터!$B$5-파라미터!$B$5*(IF(B9&gt;=1,파라미터!$B$10,0)+IF(B9&gt;=2,파라미터!$B$11,0)+IF(B9&gt;=3,파라미터!$B$12,0)))+MAX(0,파라미터!$B$5*(IF(B9&gt;=1,파라미터!$B$10,0)+IF(B9&gt;=2,파라미터!$B$11,0)+IF(B9&gt;=3,파라미터!$B$12,0))-파라미터!$B$15))*파라미터!$B$16</f>
        <v/>
      </c>
      <c r="E9" s="15">
        <f>B9*파라미터!$B$7</f>
        <v/>
      </c>
      <c r="F9" s="15">
        <f>MAX(0,파라미터!$B$19+파라미터!$B$20-C9)</f>
        <v/>
      </c>
      <c r="G9" s="15">
        <f>IF(MOD($A9-1,파라미터!$B$22)=0,파라미터!$B$21,0)</f>
        <v/>
      </c>
      <c r="H9" s="15">
        <f>D9-E9-F9-G9</f>
        <v/>
      </c>
      <c r="I9" s="15">
        <f>MAX(0,I8+H9)</f>
        <v/>
      </c>
      <c r="J9" s="14">
        <f>B9*파라미터!$B$25</f>
        <v/>
      </c>
    </row>
    <row r="10">
      <c r="A10" s="14" t="n">
        <v>4</v>
      </c>
      <c r="B10" s="14">
        <f>IF($B$4=2,IF(AND(MOD($A10,파라미터!$B$6)=0,$A10&gt;=파라미터!$B$6),$B$3,0),IF(OR($A10&lt;파라미터!$B$6,MOD($A10,파라미터!$B$6)&gt;=$B$3),0,INT(($B$3-MOD($A10,파라미터!$B$6)-1)/파라미터!$B$6)+1))</f>
        <v/>
      </c>
      <c r="C10" s="15">
        <f>MIN(파라미터!$B$15,파라미터!$B$5*(IF(B10&gt;=1,파라미터!$B$10,0)+IF(B10&gt;=2,파라미터!$B$11,0)+IF(B10&gt;=3,파라미터!$B$12,0)))</f>
        <v/>
      </c>
      <c r="D10" s="15">
        <f>((B10*파라미터!$B$5-파라미터!$B$5*(IF(B10&gt;=1,파라미터!$B$10,0)+IF(B10&gt;=2,파라미터!$B$11,0)+IF(B10&gt;=3,파라미터!$B$12,0)))+MAX(0,파라미터!$B$5*(IF(B10&gt;=1,파라미터!$B$10,0)+IF(B10&gt;=2,파라미터!$B$11,0)+IF(B10&gt;=3,파라미터!$B$12,0))-파라미터!$B$15))*파라미터!$B$16</f>
        <v/>
      </c>
      <c r="E10" s="15">
        <f>B10*파라미터!$B$7</f>
        <v/>
      </c>
      <c r="F10" s="15">
        <f>MAX(0,파라미터!$B$19+파라미터!$B$20-C10)</f>
        <v/>
      </c>
      <c r="G10" s="15">
        <f>IF(MOD($A10-1,파라미터!$B$22)=0,파라미터!$B$21,0)</f>
        <v/>
      </c>
      <c r="H10" s="15">
        <f>D10-E10-F10-G10</f>
        <v/>
      </c>
      <c r="I10" s="15">
        <f>MAX(0,I9+H10)</f>
        <v/>
      </c>
      <c r="J10" s="14">
        <f>B10*파라미터!$B$25</f>
        <v/>
      </c>
    </row>
    <row r="11">
      <c r="A11" s="14" t="n">
        <v>5</v>
      </c>
      <c r="B11" s="14">
        <f>IF($B$4=2,IF(AND(MOD($A11,파라미터!$B$6)=0,$A11&gt;=파라미터!$B$6),$B$3,0),IF(OR($A11&lt;파라미터!$B$6,MOD($A11,파라미터!$B$6)&gt;=$B$3),0,INT(($B$3-MOD($A11,파라미터!$B$6)-1)/파라미터!$B$6)+1))</f>
        <v/>
      </c>
      <c r="C11" s="15">
        <f>MIN(파라미터!$B$15,파라미터!$B$5*(IF(B11&gt;=1,파라미터!$B$10,0)+IF(B11&gt;=2,파라미터!$B$11,0)+IF(B11&gt;=3,파라미터!$B$12,0)))</f>
        <v/>
      </c>
      <c r="D11" s="15">
        <f>((B11*파라미터!$B$5-파라미터!$B$5*(IF(B11&gt;=1,파라미터!$B$10,0)+IF(B11&gt;=2,파라미터!$B$11,0)+IF(B11&gt;=3,파라미터!$B$12,0)))+MAX(0,파라미터!$B$5*(IF(B11&gt;=1,파라미터!$B$10,0)+IF(B11&gt;=2,파라미터!$B$11,0)+IF(B11&gt;=3,파라미터!$B$12,0))-파라미터!$B$15))*파라미터!$B$16</f>
        <v/>
      </c>
      <c r="E11" s="15">
        <f>B11*파라미터!$B$7</f>
        <v/>
      </c>
      <c r="F11" s="15">
        <f>MAX(0,파라미터!$B$19+파라미터!$B$20-C11)</f>
        <v/>
      </c>
      <c r="G11" s="15">
        <f>IF(MOD($A11-1,파라미터!$B$22)=0,파라미터!$B$21,0)</f>
        <v/>
      </c>
      <c r="H11" s="15">
        <f>D11-E11-F11-G11</f>
        <v/>
      </c>
      <c r="I11" s="15">
        <f>MAX(0,I10+H11)</f>
        <v/>
      </c>
      <c r="J11" s="14">
        <f>B11*파라미터!$B$25</f>
        <v/>
      </c>
    </row>
    <row r="12">
      <c r="A12" s="14" t="n">
        <v>6</v>
      </c>
      <c r="B12" s="14">
        <f>IF($B$4=2,IF(AND(MOD($A12,파라미터!$B$6)=0,$A12&gt;=파라미터!$B$6),$B$3,0),IF(OR($A12&lt;파라미터!$B$6,MOD($A12,파라미터!$B$6)&gt;=$B$3),0,INT(($B$3-MOD($A12,파라미터!$B$6)-1)/파라미터!$B$6)+1))</f>
        <v/>
      </c>
      <c r="C12" s="15">
        <f>MIN(파라미터!$B$15,파라미터!$B$5*(IF(B12&gt;=1,파라미터!$B$10,0)+IF(B12&gt;=2,파라미터!$B$11,0)+IF(B12&gt;=3,파라미터!$B$12,0)))</f>
        <v/>
      </c>
      <c r="D12" s="15">
        <f>((B12*파라미터!$B$5-파라미터!$B$5*(IF(B12&gt;=1,파라미터!$B$10,0)+IF(B12&gt;=2,파라미터!$B$11,0)+IF(B12&gt;=3,파라미터!$B$12,0)))+MAX(0,파라미터!$B$5*(IF(B12&gt;=1,파라미터!$B$10,0)+IF(B12&gt;=2,파라미터!$B$11,0)+IF(B12&gt;=3,파라미터!$B$12,0))-파라미터!$B$15))*파라미터!$B$16</f>
        <v/>
      </c>
      <c r="E12" s="15">
        <f>B12*파라미터!$B$7</f>
        <v/>
      </c>
      <c r="F12" s="15">
        <f>MAX(0,파라미터!$B$19+파라미터!$B$20-C12)</f>
        <v/>
      </c>
      <c r="G12" s="15">
        <f>IF(MOD($A12-1,파라미터!$B$22)=0,파라미터!$B$21,0)</f>
        <v/>
      </c>
      <c r="H12" s="15">
        <f>D12-E12-F12-G12</f>
        <v/>
      </c>
      <c r="I12" s="15">
        <f>MAX(0,I11+H12)</f>
        <v/>
      </c>
      <c r="J12" s="14">
        <f>B12*파라미터!$B$25</f>
        <v/>
      </c>
    </row>
    <row r="13">
      <c r="A13" s="14" t="n">
        <v>7</v>
      </c>
      <c r="B13" s="14">
        <f>IF($B$4=2,IF(AND(MOD($A13,파라미터!$B$6)=0,$A13&gt;=파라미터!$B$6),$B$3,0),IF(OR($A13&lt;파라미터!$B$6,MOD($A13,파라미터!$B$6)&gt;=$B$3),0,INT(($B$3-MOD($A13,파라미터!$B$6)-1)/파라미터!$B$6)+1))</f>
        <v/>
      </c>
      <c r="C13" s="15">
        <f>MIN(파라미터!$B$15,파라미터!$B$5*(IF(B13&gt;=1,파라미터!$B$10,0)+IF(B13&gt;=2,파라미터!$B$11,0)+IF(B13&gt;=3,파라미터!$B$12,0)))</f>
        <v/>
      </c>
      <c r="D13" s="15">
        <f>((B13*파라미터!$B$5-파라미터!$B$5*(IF(B13&gt;=1,파라미터!$B$10,0)+IF(B13&gt;=2,파라미터!$B$11,0)+IF(B13&gt;=3,파라미터!$B$12,0)))+MAX(0,파라미터!$B$5*(IF(B13&gt;=1,파라미터!$B$10,0)+IF(B13&gt;=2,파라미터!$B$11,0)+IF(B13&gt;=3,파라미터!$B$12,0))-파라미터!$B$15))*파라미터!$B$16</f>
        <v/>
      </c>
      <c r="E13" s="15">
        <f>B13*파라미터!$B$7</f>
        <v/>
      </c>
      <c r="F13" s="15">
        <f>MAX(0,파라미터!$B$19+파라미터!$B$20-C13)</f>
        <v/>
      </c>
      <c r="G13" s="15">
        <f>IF(MOD($A13-1,파라미터!$B$22)=0,파라미터!$B$21,0)</f>
        <v/>
      </c>
      <c r="H13" s="15">
        <f>D13-E13-F13-G13</f>
        <v/>
      </c>
      <c r="I13" s="15">
        <f>MAX(0,I12+H13)</f>
        <v/>
      </c>
      <c r="J13" s="14">
        <f>B13*파라미터!$B$25</f>
        <v/>
      </c>
    </row>
    <row r="14">
      <c r="A14" s="14" t="n">
        <v>8</v>
      </c>
      <c r="B14" s="14">
        <f>IF($B$4=2,IF(AND(MOD($A14,파라미터!$B$6)=0,$A14&gt;=파라미터!$B$6),$B$3,0),IF(OR($A14&lt;파라미터!$B$6,MOD($A14,파라미터!$B$6)&gt;=$B$3),0,INT(($B$3-MOD($A14,파라미터!$B$6)-1)/파라미터!$B$6)+1))</f>
        <v/>
      </c>
      <c r="C14" s="15">
        <f>MIN(파라미터!$B$15,파라미터!$B$5*(IF(B14&gt;=1,파라미터!$B$10,0)+IF(B14&gt;=2,파라미터!$B$11,0)+IF(B14&gt;=3,파라미터!$B$12,0)))</f>
        <v/>
      </c>
      <c r="D14" s="15">
        <f>((B14*파라미터!$B$5-파라미터!$B$5*(IF(B14&gt;=1,파라미터!$B$10,0)+IF(B14&gt;=2,파라미터!$B$11,0)+IF(B14&gt;=3,파라미터!$B$12,0)))+MAX(0,파라미터!$B$5*(IF(B14&gt;=1,파라미터!$B$10,0)+IF(B14&gt;=2,파라미터!$B$11,0)+IF(B14&gt;=3,파라미터!$B$12,0))-파라미터!$B$15))*파라미터!$B$16</f>
        <v/>
      </c>
      <c r="E14" s="15">
        <f>B14*파라미터!$B$7</f>
        <v/>
      </c>
      <c r="F14" s="15">
        <f>MAX(0,파라미터!$B$19+파라미터!$B$20-C14)</f>
        <v/>
      </c>
      <c r="G14" s="15">
        <f>IF(MOD($A14-1,파라미터!$B$22)=0,파라미터!$B$21,0)</f>
        <v/>
      </c>
      <c r="H14" s="15">
        <f>D14-E14-F14-G14</f>
        <v/>
      </c>
      <c r="I14" s="15">
        <f>MAX(0,I13+H14)</f>
        <v/>
      </c>
      <c r="J14" s="14">
        <f>B14*파라미터!$B$25</f>
        <v/>
      </c>
    </row>
    <row r="15">
      <c r="A15" s="14" t="n">
        <v>9</v>
      </c>
      <c r="B15" s="14">
        <f>IF($B$4=2,IF(AND(MOD($A15,파라미터!$B$6)=0,$A15&gt;=파라미터!$B$6),$B$3,0),IF(OR($A15&lt;파라미터!$B$6,MOD($A15,파라미터!$B$6)&gt;=$B$3),0,INT(($B$3-MOD($A15,파라미터!$B$6)-1)/파라미터!$B$6)+1))</f>
        <v/>
      </c>
      <c r="C15" s="15">
        <f>MIN(파라미터!$B$15,파라미터!$B$5*(IF(B15&gt;=1,파라미터!$B$10,0)+IF(B15&gt;=2,파라미터!$B$11,0)+IF(B15&gt;=3,파라미터!$B$12,0)))</f>
        <v/>
      </c>
      <c r="D15" s="15">
        <f>((B15*파라미터!$B$5-파라미터!$B$5*(IF(B15&gt;=1,파라미터!$B$10,0)+IF(B15&gt;=2,파라미터!$B$11,0)+IF(B15&gt;=3,파라미터!$B$12,0)))+MAX(0,파라미터!$B$5*(IF(B15&gt;=1,파라미터!$B$10,0)+IF(B15&gt;=2,파라미터!$B$11,0)+IF(B15&gt;=3,파라미터!$B$12,0))-파라미터!$B$15))*파라미터!$B$16</f>
        <v/>
      </c>
      <c r="E15" s="15">
        <f>B15*파라미터!$B$7</f>
        <v/>
      </c>
      <c r="F15" s="15">
        <f>MAX(0,파라미터!$B$19+파라미터!$B$20-C15)</f>
        <v/>
      </c>
      <c r="G15" s="15">
        <f>IF(MOD($A15-1,파라미터!$B$22)=0,파라미터!$B$21,0)</f>
        <v/>
      </c>
      <c r="H15" s="15">
        <f>D15-E15-F15-G15</f>
        <v/>
      </c>
      <c r="I15" s="15">
        <f>MAX(0,I14+H15)</f>
        <v/>
      </c>
      <c r="J15" s="14">
        <f>B15*파라미터!$B$25</f>
        <v/>
      </c>
    </row>
    <row r="16">
      <c r="A16" s="14" t="n">
        <v>10</v>
      </c>
      <c r="B16" s="14">
        <f>IF($B$4=2,IF(AND(MOD($A16,파라미터!$B$6)=0,$A16&gt;=파라미터!$B$6),$B$3,0),IF(OR($A16&lt;파라미터!$B$6,MOD($A16,파라미터!$B$6)&gt;=$B$3),0,INT(($B$3-MOD($A16,파라미터!$B$6)-1)/파라미터!$B$6)+1))</f>
        <v/>
      </c>
      <c r="C16" s="15">
        <f>MIN(파라미터!$B$15,파라미터!$B$5*(IF(B16&gt;=1,파라미터!$B$10,0)+IF(B16&gt;=2,파라미터!$B$11,0)+IF(B16&gt;=3,파라미터!$B$12,0)))</f>
        <v/>
      </c>
      <c r="D16" s="15">
        <f>((B16*파라미터!$B$5-파라미터!$B$5*(IF(B16&gt;=1,파라미터!$B$10,0)+IF(B16&gt;=2,파라미터!$B$11,0)+IF(B16&gt;=3,파라미터!$B$12,0)))+MAX(0,파라미터!$B$5*(IF(B16&gt;=1,파라미터!$B$10,0)+IF(B16&gt;=2,파라미터!$B$11,0)+IF(B16&gt;=3,파라미터!$B$12,0))-파라미터!$B$15))*파라미터!$B$16</f>
        <v/>
      </c>
      <c r="E16" s="15">
        <f>B16*파라미터!$B$7</f>
        <v/>
      </c>
      <c r="F16" s="15">
        <f>MAX(0,파라미터!$B$19+파라미터!$B$20-C16)</f>
        <v/>
      </c>
      <c r="G16" s="15">
        <f>IF(MOD($A16-1,파라미터!$B$22)=0,파라미터!$B$21,0)</f>
        <v/>
      </c>
      <c r="H16" s="15">
        <f>D16-E16-F16-G16</f>
        <v/>
      </c>
      <c r="I16" s="15">
        <f>MAX(0,I15+H16)</f>
        <v/>
      </c>
      <c r="J16" s="14">
        <f>B16*파라미터!$B$25</f>
        <v/>
      </c>
    </row>
    <row r="17">
      <c r="A17" s="14" t="n">
        <v>11</v>
      </c>
      <c r="B17" s="14">
        <f>IF($B$4=2,IF(AND(MOD($A17,파라미터!$B$6)=0,$A17&gt;=파라미터!$B$6),$B$3,0),IF(OR($A17&lt;파라미터!$B$6,MOD($A17,파라미터!$B$6)&gt;=$B$3),0,INT(($B$3-MOD($A17,파라미터!$B$6)-1)/파라미터!$B$6)+1))</f>
        <v/>
      </c>
      <c r="C17" s="15">
        <f>MIN(파라미터!$B$15,파라미터!$B$5*(IF(B17&gt;=1,파라미터!$B$10,0)+IF(B17&gt;=2,파라미터!$B$11,0)+IF(B17&gt;=3,파라미터!$B$12,0)))</f>
        <v/>
      </c>
      <c r="D17" s="15">
        <f>((B17*파라미터!$B$5-파라미터!$B$5*(IF(B17&gt;=1,파라미터!$B$10,0)+IF(B17&gt;=2,파라미터!$B$11,0)+IF(B17&gt;=3,파라미터!$B$12,0)))+MAX(0,파라미터!$B$5*(IF(B17&gt;=1,파라미터!$B$10,0)+IF(B17&gt;=2,파라미터!$B$11,0)+IF(B17&gt;=3,파라미터!$B$12,0))-파라미터!$B$15))*파라미터!$B$16</f>
        <v/>
      </c>
      <c r="E17" s="15">
        <f>B17*파라미터!$B$7</f>
        <v/>
      </c>
      <c r="F17" s="15">
        <f>MAX(0,파라미터!$B$19+파라미터!$B$20-C17)</f>
        <v/>
      </c>
      <c r="G17" s="15">
        <f>IF(MOD($A17-1,파라미터!$B$22)=0,파라미터!$B$21,0)</f>
        <v/>
      </c>
      <c r="H17" s="15">
        <f>D17-E17-F17-G17</f>
        <v/>
      </c>
      <c r="I17" s="15">
        <f>MAX(0,I16+H17)</f>
        <v/>
      </c>
      <c r="J17" s="14">
        <f>B17*파라미터!$B$25</f>
        <v/>
      </c>
    </row>
    <row r="18">
      <c r="A18" s="14" t="n">
        <v>12</v>
      </c>
      <c r="B18" s="14">
        <f>IF($B$4=2,IF(AND(MOD($A18,파라미터!$B$6)=0,$A18&gt;=파라미터!$B$6),$B$3,0),IF(OR($A18&lt;파라미터!$B$6,MOD($A18,파라미터!$B$6)&gt;=$B$3),0,INT(($B$3-MOD($A18,파라미터!$B$6)-1)/파라미터!$B$6)+1))</f>
        <v/>
      </c>
      <c r="C18" s="15">
        <f>MIN(파라미터!$B$15,파라미터!$B$5*(IF(B18&gt;=1,파라미터!$B$10,0)+IF(B18&gt;=2,파라미터!$B$11,0)+IF(B18&gt;=3,파라미터!$B$12,0)))</f>
        <v/>
      </c>
      <c r="D18" s="15">
        <f>((B18*파라미터!$B$5-파라미터!$B$5*(IF(B18&gt;=1,파라미터!$B$10,0)+IF(B18&gt;=2,파라미터!$B$11,0)+IF(B18&gt;=3,파라미터!$B$12,0)))+MAX(0,파라미터!$B$5*(IF(B18&gt;=1,파라미터!$B$10,0)+IF(B18&gt;=2,파라미터!$B$11,0)+IF(B18&gt;=3,파라미터!$B$12,0))-파라미터!$B$15))*파라미터!$B$16</f>
        <v/>
      </c>
      <c r="E18" s="15">
        <f>B18*파라미터!$B$7</f>
        <v/>
      </c>
      <c r="F18" s="15">
        <f>MAX(0,파라미터!$B$19+파라미터!$B$20-C18)</f>
        <v/>
      </c>
      <c r="G18" s="15">
        <f>IF(MOD($A18-1,파라미터!$B$22)=0,파라미터!$B$21,0)</f>
        <v/>
      </c>
      <c r="H18" s="15">
        <f>D18-E18-F18-G18</f>
        <v/>
      </c>
      <c r="I18" s="15">
        <f>MAX(0,I17+H18)</f>
        <v/>
      </c>
      <c r="J18" s="14">
        <f>B18*파라미터!$B$25</f>
        <v/>
      </c>
    </row>
    <row r="19">
      <c r="A19" s="14" t="n">
        <v>13</v>
      </c>
      <c r="B19" s="14">
        <f>IF($B$4=2,IF(AND(MOD($A19,파라미터!$B$6)=0,$A19&gt;=파라미터!$B$6),$B$3,0),IF(OR($A19&lt;파라미터!$B$6,MOD($A19,파라미터!$B$6)&gt;=$B$3),0,INT(($B$3-MOD($A19,파라미터!$B$6)-1)/파라미터!$B$6)+1))</f>
        <v/>
      </c>
      <c r="C19" s="15">
        <f>MIN(파라미터!$B$15,파라미터!$B$5*(IF(B19&gt;=1,파라미터!$B$10,0)+IF(B19&gt;=2,파라미터!$B$11,0)+IF(B19&gt;=3,파라미터!$B$12,0)))</f>
        <v/>
      </c>
      <c r="D19" s="15">
        <f>((B19*파라미터!$B$5-파라미터!$B$5*(IF(B19&gt;=1,파라미터!$B$10,0)+IF(B19&gt;=2,파라미터!$B$11,0)+IF(B19&gt;=3,파라미터!$B$12,0)))+MAX(0,파라미터!$B$5*(IF(B19&gt;=1,파라미터!$B$10,0)+IF(B19&gt;=2,파라미터!$B$11,0)+IF(B19&gt;=3,파라미터!$B$12,0))-파라미터!$B$15))*파라미터!$B$16</f>
        <v/>
      </c>
      <c r="E19" s="15">
        <f>B19*파라미터!$B$7</f>
        <v/>
      </c>
      <c r="F19" s="15">
        <f>MAX(0,파라미터!$B$19+파라미터!$B$20-C19)</f>
        <v/>
      </c>
      <c r="G19" s="15">
        <f>IF(MOD($A19-1,파라미터!$B$22)=0,파라미터!$B$21,0)</f>
        <v/>
      </c>
      <c r="H19" s="15">
        <f>D19-E19-F19-G19</f>
        <v/>
      </c>
      <c r="I19" s="15">
        <f>MAX(0,I18+H19)</f>
        <v/>
      </c>
      <c r="J19" s="14">
        <f>B19*파라미터!$B$25</f>
        <v/>
      </c>
    </row>
    <row r="20">
      <c r="A20" s="14" t="n">
        <v>14</v>
      </c>
      <c r="B20" s="14">
        <f>IF($B$4=2,IF(AND(MOD($A20,파라미터!$B$6)=0,$A20&gt;=파라미터!$B$6),$B$3,0),IF(OR($A20&lt;파라미터!$B$6,MOD($A20,파라미터!$B$6)&gt;=$B$3),0,INT(($B$3-MOD($A20,파라미터!$B$6)-1)/파라미터!$B$6)+1))</f>
        <v/>
      </c>
      <c r="C20" s="15">
        <f>MIN(파라미터!$B$15,파라미터!$B$5*(IF(B20&gt;=1,파라미터!$B$10,0)+IF(B20&gt;=2,파라미터!$B$11,0)+IF(B20&gt;=3,파라미터!$B$12,0)))</f>
        <v/>
      </c>
      <c r="D20" s="15">
        <f>((B20*파라미터!$B$5-파라미터!$B$5*(IF(B20&gt;=1,파라미터!$B$10,0)+IF(B20&gt;=2,파라미터!$B$11,0)+IF(B20&gt;=3,파라미터!$B$12,0)))+MAX(0,파라미터!$B$5*(IF(B20&gt;=1,파라미터!$B$10,0)+IF(B20&gt;=2,파라미터!$B$11,0)+IF(B20&gt;=3,파라미터!$B$12,0))-파라미터!$B$15))*파라미터!$B$16</f>
        <v/>
      </c>
      <c r="E20" s="15">
        <f>B20*파라미터!$B$7</f>
        <v/>
      </c>
      <c r="F20" s="15">
        <f>MAX(0,파라미터!$B$19+파라미터!$B$20-C20)</f>
        <v/>
      </c>
      <c r="G20" s="15">
        <f>IF(MOD($A20-1,파라미터!$B$22)=0,파라미터!$B$21,0)</f>
        <v/>
      </c>
      <c r="H20" s="15">
        <f>D20-E20-F20-G20</f>
        <v/>
      </c>
      <c r="I20" s="15">
        <f>MAX(0,I19+H20)</f>
        <v/>
      </c>
      <c r="J20" s="14">
        <f>B20*파라미터!$B$25</f>
        <v/>
      </c>
    </row>
    <row r="21">
      <c r="A21" s="14" t="n">
        <v>15</v>
      </c>
      <c r="B21" s="14">
        <f>IF($B$4=2,IF(AND(MOD($A21,파라미터!$B$6)=0,$A21&gt;=파라미터!$B$6),$B$3,0),IF(OR($A21&lt;파라미터!$B$6,MOD($A21,파라미터!$B$6)&gt;=$B$3),0,INT(($B$3-MOD($A21,파라미터!$B$6)-1)/파라미터!$B$6)+1))</f>
        <v/>
      </c>
      <c r="C21" s="15">
        <f>MIN(파라미터!$B$15,파라미터!$B$5*(IF(B21&gt;=1,파라미터!$B$10,0)+IF(B21&gt;=2,파라미터!$B$11,0)+IF(B21&gt;=3,파라미터!$B$12,0)))</f>
        <v/>
      </c>
      <c r="D21" s="15">
        <f>((B21*파라미터!$B$5-파라미터!$B$5*(IF(B21&gt;=1,파라미터!$B$10,0)+IF(B21&gt;=2,파라미터!$B$11,0)+IF(B21&gt;=3,파라미터!$B$12,0)))+MAX(0,파라미터!$B$5*(IF(B21&gt;=1,파라미터!$B$10,0)+IF(B21&gt;=2,파라미터!$B$11,0)+IF(B21&gt;=3,파라미터!$B$12,0))-파라미터!$B$15))*파라미터!$B$16</f>
        <v/>
      </c>
      <c r="E21" s="15">
        <f>B21*파라미터!$B$7</f>
        <v/>
      </c>
      <c r="F21" s="15">
        <f>MAX(0,파라미터!$B$19+파라미터!$B$20-C21)</f>
        <v/>
      </c>
      <c r="G21" s="15">
        <f>IF(MOD($A21-1,파라미터!$B$22)=0,파라미터!$B$21,0)</f>
        <v/>
      </c>
      <c r="H21" s="15">
        <f>D21-E21-F21-G21</f>
        <v/>
      </c>
      <c r="I21" s="15">
        <f>MAX(0,I20+H21)</f>
        <v/>
      </c>
      <c r="J21" s="14">
        <f>B21*파라미터!$B$25</f>
        <v/>
      </c>
    </row>
    <row r="22">
      <c r="A22" s="14" t="n">
        <v>16</v>
      </c>
      <c r="B22" s="14">
        <f>IF($B$4=2,IF(AND(MOD($A22,파라미터!$B$6)=0,$A22&gt;=파라미터!$B$6),$B$3,0),IF(OR($A22&lt;파라미터!$B$6,MOD($A22,파라미터!$B$6)&gt;=$B$3),0,INT(($B$3-MOD($A22,파라미터!$B$6)-1)/파라미터!$B$6)+1))</f>
        <v/>
      </c>
      <c r="C22" s="15">
        <f>MIN(파라미터!$B$15,파라미터!$B$5*(IF(B22&gt;=1,파라미터!$B$10,0)+IF(B22&gt;=2,파라미터!$B$11,0)+IF(B22&gt;=3,파라미터!$B$12,0)))</f>
        <v/>
      </c>
      <c r="D22" s="15">
        <f>((B22*파라미터!$B$5-파라미터!$B$5*(IF(B22&gt;=1,파라미터!$B$10,0)+IF(B22&gt;=2,파라미터!$B$11,0)+IF(B22&gt;=3,파라미터!$B$12,0)))+MAX(0,파라미터!$B$5*(IF(B22&gt;=1,파라미터!$B$10,0)+IF(B22&gt;=2,파라미터!$B$11,0)+IF(B22&gt;=3,파라미터!$B$12,0))-파라미터!$B$15))*파라미터!$B$16</f>
        <v/>
      </c>
      <c r="E22" s="15">
        <f>B22*파라미터!$B$7</f>
        <v/>
      </c>
      <c r="F22" s="15">
        <f>MAX(0,파라미터!$B$19+파라미터!$B$20-C22)</f>
        <v/>
      </c>
      <c r="G22" s="15">
        <f>IF(MOD($A22-1,파라미터!$B$22)=0,파라미터!$B$21,0)</f>
        <v/>
      </c>
      <c r="H22" s="15">
        <f>D22-E22-F22-G22</f>
        <v/>
      </c>
      <c r="I22" s="15">
        <f>MAX(0,I21+H22)</f>
        <v/>
      </c>
      <c r="J22" s="14">
        <f>B22*파라미터!$B$25</f>
        <v/>
      </c>
    </row>
    <row r="23">
      <c r="A23" s="14" t="n">
        <v>17</v>
      </c>
      <c r="B23" s="14">
        <f>IF($B$4=2,IF(AND(MOD($A23,파라미터!$B$6)=0,$A23&gt;=파라미터!$B$6),$B$3,0),IF(OR($A23&lt;파라미터!$B$6,MOD($A23,파라미터!$B$6)&gt;=$B$3),0,INT(($B$3-MOD($A23,파라미터!$B$6)-1)/파라미터!$B$6)+1))</f>
        <v/>
      </c>
      <c r="C23" s="15">
        <f>MIN(파라미터!$B$15,파라미터!$B$5*(IF(B23&gt;=1,파라미터!$B$10,0)+IF(B23&gt;=2,파라미터!$B$11,0)+IF(B23&gt;=3,파라미터!$B$12,0)))</f>
        <v/>
      </c>
      <c r="D23" s="15">
        <f>((B23*파라미터!$B$5-파라미터!$B$5*(IF(B23&gt;=1,파라미터!$B$10,0)+IF(B23&gt;=2,파라미터!$B$11,0)+IF(B23&gt;=3,파라미터!$B$12,0)))+MAX(0,파라미터!$B$5*(IF(B23&gt;=1,파라미터!$B$10,0)+IF(B23&gt;=2,파라미터!$B$11,0)+IF(B23&gt;=3,파라미터!$B$12,0))-파라미터!$B$15))*파라미터!$B$16</f>
        <v/>
      </c>
      <c r="E23" s="15">
        <f>B23*파라미터!$B$7</f>
        <v/>
      </c>
      <c r="F23" s="15">
        <f>MAX(0,파라미터!$B$19+파라미터!$B$20-C23)</f>
        <v/>
      </c>
      <c r="G23" s="15">
        <f>IF(MOD($A23-1,파라미터!$B$22)=0,파라미터!$B$21,0)</f>
        <v/>
      </c>
      <c r="H23" s="15">
        <f>D23-E23-F23-G23</f>
        <v/>
      </c>
      <c r="I23" s="15">
        <f>MAX(0,I22+H23)</f>
        <v/>
      </c>
      <c r="J23" s="14">
        <f>B23*파라미터!$B$25</f>
        <v/>
      </c>
    </row>
    <row r="24">
      <c r="A24" s="14" t="n">
        <v>18</v>
      </c>
      <c r="B24" s="14">
        <f>IF($B$4=2,IF(AND(MOD($A24,파라미터!$B$6)=0,$A24&gt;=파라미터!$B$6),$B$3,0),IF(OR($A24&lt;파라미터!$B$6,MOD($A24,파라미터!$B$6)&gt;=$B$3),0,INT(($B$3-MOD($A24,파라미터!$B$6)-1)/파라미터!$B$6)+1))</f>
        <v/>
      </c>
      <c r="C24" s="15">
        <f>MIN(파라미터!$B$15,파라미터!$B$5*(IF(B24&gt;=1,파라미터!$B$10,0)+IF(B24&gt;=2,파라미터!$B$11,0)+IF(B24&gt;=3,파라미터!$B$12,0)))</f>
        <v/>
      </c>
      <c r="D24" s="15">
        <f>((B24*파라미터!$B$5-파라미터!$B$5*(IF(B24&gt;=1,파라미터!$B$10,0)+IF(B24&gt;=2,파라미터!$B$11,0)+IF(B24&gt;=3,파라미터!$B$12,0)))+MAX(0,파라미터!$B$5*(IF(B24&gt;=1,파라미터!$B$10,0)+IF(B24&gt;=2,파라미터!$B$11,0)+IF(B24&gt;=3,파라미터!$B$12,0))-파라미터!$B$15))*파라미터!$B$16</f>
        <v/>
      </c>
      <c r="E24" s="15">
        <f>B24*파라미터!$B$7</f>
        <v/>
      </c>
      <c r="F24" s="15">
        <f>MAX(0,파라미터!$B$19+파라미터!$B$20-C24)</f>
        <v/>
      </c>
      <c r="G24" s="15">
        <f>IF(MOD($A24-1,파라미터!$B$22)=0,파라미터!$B$21,0)</f>
        <v/>
      </c>
      <c r="H24" s="15">
        <f>D24-E24-F24-G24</f>
        <v/>
      </c>
      <c r="I24" s="15">
        <f>MAX(0,I23+H24)</f>
        <v/>
      </c>
      <c r="J24" s="14">
        <f>B24*파라미터!$B$25</f>
        <v/>
      </c>
    </row>
    <row r="25">
      <c r="A25" s="14" t="n">
        <v>19</v>
      </c>
      <c r="B25" s="14">
        <f>IF($B$4=2,IF(AND(MOD($A25,파라미터!$B$6)=0,$A25&gt;=파라미터!$B$6),$B$3,0),IF(OR($A25&lt;파라미터!$B$6,MOD($A25,파라미터!$B$6)&gt;=$B$3),0,INT(($B$3-MOD($A25,파라미터!$B$6)-1)/파라미터!$B$6)+1))</f>
        <v/>
      </c>
      <c r="C25" s="15">
        <f>MIN(파라미터!$B$15,파라미터!$B$5*(IF(B25&gt;=1,파라미터!$B$10,0)+IF(B25&gt;=2,파라미터!$B$11,0)+IF(B25&gt;=3,파라미터!$B$12,0)))</f>
        <v/>
      </c>
      <c r="D25" s="15">
        <f>((B25*파라미터!$B$5-파라미터!$B$5*(IF(B25&gt;=1,파라미터!$B$10,0)+IF(B25&gt;=2,파라미터!$B$11,0)+IF(B25&gt;=3,파라미터!$B$12,0)))+MAX(0,파라미터!$B$5*(IF(B25&gt;=1,파라미터!$B$10,0)+IF(B25&gt;=2,파라미터!$B$11,0)+IF(B25&gt;=3,파라미터!$B$12,0))-파라미터!$B$15))*파라미터!$B$16</f>
        <v/>
      </c>
      <c r="E25" s="15">
        <f>B25*파라미터!$B$7</f>
        <v/>
      </c>
      <c r="F25" s="15">
        <f>MAX(0,파라미터!$B$19+파라미터!$B$20-C25)</f>
        <v/>
      </c>
      <c r="G25" s="15">
        <f>IF(MOD($A25-1,파라미터!$B$22)=0,파라미터!$B$21,0)</f>
        <v/>
      </c>
      <c r="H25" s="15">
        <f>D25-E25-F25-G25</f>
        <v/>
      </c>
      <c r="I25" s="15">
        <f>MAX(0,I24+H25)</f>
        <v/>
      </c>
      <c r="J25" s="14">
        <f>B25*파라미터!$B$25</f>
        <v/>
      </c>
    </row>
    <row r="26">
      <c r="A26" s="14" t="n">
        <v>20</v>
      </c>
      <c r="B26" s="14">
        <f>IF($B$4=2,IF(AND(MOD($A26,파라미터!$B$6)=0,$A26&gt;=파라미터!$B$6),$B$3,0),IF(OR($A26&lt;파라미터!$B$6,MOD($A26,파라미터!$B$6)&gt;=$B$3),0,INT(($B$3-MOD($A26,파라미터!$B$6)-1)/파라미터!$B$6)+1))</f>
        <v/>
      </c>
      <c r="C26" s="15">
        <f>MIN(파라미터!$B$15,파라미터!$B$5*(IF(B26&gt;=1,파라미터!$B$10,0)+IF(B26&gt;=2,파라미터!$B$11,0)+IF(B26&gt;=3,파라미터!$B$12,0)))</f>
        <v/>
      </c>
      <c r="D26" s="15">
        <f>((B26*파라미터!$B$5-파라미터!$B$5*(IF(B26&gt;=1,파라미터!$B$10,0)+IF(B26&gt;=2,파라미터!$B$11,0)+IF(B26&gt;=3,파라미터!$B$12,0)))+MAX(0,파라미터!$B$5*(IF(B26&gt;=1,파라미터!$B$10,0)+IF(B26&gt;=2,파라미터!$B$11,0)+IF(B26&gt;=3,파라미터!$B$12,0))-파라미터!$B$15))*파라미터!$B$16</f>
        <v/>
      </c>
      <c r="E26" s="15">
        <f>B26*파라미터!$B$7</f>
        <v/>
      </c>
      <c r="F26" s="15">
        <f>MAX(0,파라미터!$B$19+파라미터!$B$20-C26)</f>
        <v/>
      </c>
      <c r="G26" s="15">
        <f>IF(MOD($A26-1,파라미터!$B$22)=0,파라미터!$B$21,0)</f>
        <v/>
      </c>
      <c r="H26" s="15">
        <f>D26-E26-F26-G26</f>
        <v/>
      </c>
      <c r="I26" s="15">
        <f>MAX(0,I25+H26)</f>
        <v/>
      </c>
      <c r="J26" s="14">
        <f>B26*파라미터!$B$25</f>
        <v/>
      </c>
    </row>
    <row r="27">
      <c r="A27" s="14" t="n">
        <v>21</v>
      </c>
      <c r="B27" s="14">
        <f>IF($B$4=2,IF(AND(MOD($A27,파라미터!$B$6)=0,$A27&gt;=파라미터!$B$6),$B$3,0),IF(OR($A27&lt;파라미터!$B$6,MOD($A27,파라미터!$B$6)&gt;=$B$3),0,INT(($B$3-MOD($A27,파라미터!$B$6)-1)/파라미터!$B$6)+1))</f>
        <v/>
      </c>
      <c r="C27" s="15">
        <f>MIN(파라미터!$B$15,파라미터!$B$5*(IF(B27&gt;=1,파라미터!$B$10,0)+IF(B27&gt;=2,파라미터!$B$11,0)+IF(B27&gt;=3,파라미터!$B$12,0)))</f>
        <v/>
      </c>
      <c r="D27" s="15">
        <f>((B27*파라미터!$B$5-파라미터!$B$5*(IF(B27&gt;=1,파라미터!$B$10,0)+IF(B27&gt;=2,파라미터!$B$11,0)+IF(B27&gt;=3,파라미터!$B$12,0)))+MAX(0,파라미터!$B$5*(IF(B27&gt;=1,파라미터!$B$10,0)+IF(B27&gt;=2,파라미터!$B$11,0)+IF(B27&gt;=3,파라미터!$B$12,0))-파라미터!$B$15))*파라미터!$B$16</f>
        <v/>
      </c>
      <c r="E27" s="15">
        <f>B27*파라미터!$B$7</f>
        <v/>
      </c>
      <c r="F27" s="15">
        <f>MAX(0,파라미터!$B$19+파라미터!$B$20-C27)</f>
        <v/>
      </c>
      <c r="G27" s="15">
        <f>IF(MOD($A27-1,파라미터!$B$22)=0,파라미터!$B$21,0)</f>
        <v/>
      </c>
      <c r="H27" s="15">
        <f>D27-E27-F27-G27</f>
        <v/>
      </c>
      <c r="I27" s="15">
        <f>MAX(0,I26+H27)</f>
        <v/>
      </c>
      <c r="J27" s="14">
        <f>B27*파라미터!$B$25</f>
        <v/>
      </c>
    </row>
    <row r="28">
      <c r="A28" s="14" t="n">
        <v>22</v>
      </c>
      <c r="B28" s="14">
        <f>IF($B$4=2,IF(AND(MOD($A28,파라미터!$B$6)=0,$A28&gt;=파라미터!$B$6),$B$3,0),IF(OR($A28&lt;파라미터!$B$6,MOD($A28,파라미터!$B$6)&gt;=$B$3),0,INT(($B$3-MOD($A28,파라미터!$B$6)-1)/파라미터!$B$6)+1))</f>
        <v/>
      </c>
      <c r="C28" s="15">
        <f>MIN(파라미터!$B$15,파라미터!$B$5*(IF(B28&gt;=1,파라미터!$B$10,0)+IF(B28&gt;=2,파라미터!$B$11,0)+IF(B28&gt;=3,파라미터!$B$12,0)))</f>
        <v/>
      </c>
      <c r="D28" s="15">
        <f>((B28*파라미터!$B$5-파라미터!$B$5*(IF(B28&gt;=1,파라미터!$B$10,0)+IF(B28&gt;=2,파라미터!$B$11,0)+IF(B28&gt;=3,파라미터!$B$12,0)))+MAX(0,파라미터!$B$5*(IF(B28&gt;=1,파라미터!$B$10,0)+IF(B28&gt;=2,파라미터!$B$11,0)+IF(B28&gt;=3,파라미터!$B$12,0))-파라미터!$B$15))*파라미터!$B$16</f>
        <v/>
      </c>
      <c r="E28" s="15">
        <f>B28*파라미터!$B$7</f>
        <v/>
      </c>
      <c r="F28" s="15">
        <f>MAX(0,파라미터!$B$19+파라미터!$B$20-C28)</f>
        <v/>
      </c>
      <c r="G28" s="15">
        <f>IF(MOD($A28-1,파라미터!$B$22)=0,파라미터!$B$21,0)</f>
        <v/>
      </c>
      <c r="H28" s="15">
        <f>D28-E28-F28-G28</f>
        <v/>
      </c>
      <c r="I28" s="15">
        <f>MAX(0,I27+H28)</f>
        <v/>
      </c>
      <c r="J28" s="14">
        <f>B28*파라미터!$B$25</f>
        <v/>
      </c>
    </row>
    <row r="29">
      <c r="A29" s="14" t="n">
        <v>23</v>
      </c>
      <c r="B29" s="14">
        <f>IF($B$4=2,IF(AND(MOD($A29,파라미터!$B$6)=0,$A29&gt;=파라미터!$B$6),$B$3,0),IF(OR($A29&lt;파라미터!$B$6,MOD($A29,파라미터!$B$6)&gt;=$B$3),0,INT(($B$3-MOD($A29,파라미터!$B$6)-1)/파라미터!$B$6)+1))</f>
        <v/>
      </c>
      <c r="C29" s="15">
        <f>MIN(파라미터!$B$15,파라미터!$B$5*(IF(B29&gt;=1,파라미터!$B$10,0)+IF(B29&gt;=2,파라미터!$B$11,0)+IF(B29&gt;=3,파라미터!$B$12,0)))</f>
        <v/>
      </c>
      <c r="D29" s="15">
        <f>((B29*파라미터!$B$5-파라미터!$B$5*(IF(B29&gt;=1,파라미터!$B$10,0)+IF(B29&gt;=2,파라미터!$B$11,0)+IF(B29&gt;=3,파라미터!$B$12,0)))+MAX(0,파라미터!$B$5*(IF(B29&gt;=1,파라미터!$B$10,0)+IF(B29&gt;=2,파라미터!$B$11,0)+IF(B29&gt;=3,파라미터!$B$12,0))-파라미터!$B$15))*파라미터!$B$16</f>
        <v/>
      </c>
      <c r="E29" s="15">
        <f>B29*파라미터!$B$7</f>
        <v/>
      </c>
      <c r="F29" s="15">
        <f>MAX(0,파라미터!$B$19+파라미터!$B$20-C29)</f>
        <v/>
      </c>
      <c r="G29" s="15">
        <f>IF(MOD($A29-1,파라미터!$B$22)=0,파라미터!$B$21,0)</f>
        <v/>
      </c>
      <c r="H29" s="15">
        <f>D29-E29-F29-G29</f>
        <v/>
      </c>
      <c r="I29" s="15">
        <f>MAX(0,I28+H29)</f>
        <v/>
      </c>
      <c r="J29" s="14">
        <f>B29*파라미터!$B$25</f>
        <v/>
      </c>
    </row>
    <row r="30">
      <c r="A30" s="14" t="n">
        <v>24</v>
      </c>
      <c r="B30" s="14">
        <f>IF($B$4=2,IF(AND(MOD($A30,파라미터!$B$6)=0,$A30&gt;=파라미터!$B$6),$B$3,0),IF(OR($A30&lt;파라미터!$B$6,MOD($A30,파라미터!$B$6)&gt;=$B$3),0,INT(($B$3-MOD($A30,파라미터!$B$6)-1)/파라미터!$B$6)+1))</f>
        <v/>
      </c>
      <c r="C30" s="15">
        <f>MIN(파라미터!$B$15,파라미터!$B$5*(IF(B30&gt;=1,파라미터!$B$10,0)+IF(B30&gt;=2,파라미터!$B$11,0)+IF(B30&gt;=3,파라미터!$B$12,0)))</f>
        <v/>
      </c>
      <c r="D30" s="15">
        <f>((B30*파라미터!$B$5-파라미터!$B$5*(IF(B30&gt;=1,파라미터!$B$10,0)+IF(B30&gt;=2,파라미터!$B$11,0)+IF(B30&gt;=3,파라미터!$B$12,0)))+MAX(0,파라미터!$B$5*(IF(B30&gt;=1,파라미터!$B$10,0)+IF(B30&gt;=2,파라미터!$B$11,0)+IF(B30&gt;=3,파라미터!$B$12,0))-파라미터!$B$15))*파라미터!$B$16</f>
        <v/>
      </c>
      <c r="E30" s="15">
        <f>B30*파라미터!$B$7</f>
        <v/>
      </c>
      <c r="F30" s="15">
        <f>MAX(0,파라미터!$B$19+파라미터!$B$20-C30)</f>
        <v/>
      </c>
      <c r="G30" s="15">
        <f>IF(MOD($A30-1,파라미터!$B$22)=0,파라미터!$B$21,0)</f>
        <v/>
      </c>
      <c r="H30" s="15">
        <f>D30-E30-F30-G30</f>
        <v/>
      </c>
      <c r="I30" s="15">
        <f>MAX(0,I29+H30)</f>
        <v/>
      </c>
      <c r="J30" s="14">
        <f>B30*파라미터!$B$25</f>
        <v/>
      </c>
    </row>
    <row r="31">
      <c r="A31" s="14" t="n">
        <v>25</v>
      </c>
      <c r="B31" s="14">
        <f>IF($B$4=2,IF(AND(MOD($A31,파라미터!$B$6)=0,$A31&gt;=파라미터!$B$6),$B$3,0),IF(OR($A31&lt;파라미터!$B$6,MOD($A31,파라미터!$B$6)&gt;=$B$3),0,INT(($B$3-MOD($A31,파라미터!$B$6)-1)/파라미터!$B$6)+1))</f>
        <v/>
      </c>
      <c r="C31" s="15">
        <f>MIN(파라미터!$B$15,파라미터!$B$5*(IF(B31&gt;=1,파라미터!$B$10,0)+IF(B31&gt;=2,파라미터!$B$11,0)+IF(B31&gt;=3,파라미터!$B$12,0)))</f>
        <v/>
      </c>
      <c r="D31" s="15">
        <f>((B31*파라미터!$B$5-파라미터!$B$5*(IF(B31&gt;=1,파라미터!$B$10,0)+IF(B31&gt;=2,파라미터!$B$11,0)+IF(B31&gt;=3,파라미터!$B$12,0)))+MAX(0,파라미터!$B$5*(IF(B31&gt;=1,파라미터!$B$10,0)+IF(B31&gt;=2,파라미터!$B$11,0)+IF(B31&gt;=3,파라미터!$B$12,0))-파라미터!$B$15))*파라미터!$B$16</f>
        <v/>
      </c>
      <c r="E31" s="15">
        <f>B31*파라미터!$B$7</f>
        <v/>
      </c>
      <c r="F31" s="15">
        <f>MAX(0,파라미터!$B$19+파라미터!$B$20-C31)</f>
        <v/>
      </c>
      <c r="G31" s="15">
        <f>IF(MOD($A31-1,파라미터!$B$22)=0,파라미터!$B$21,0)</f>
        <v/>
      </c>
      <c r="H31" s="15">
        <f>D31-E31-F31-G31</f>
        <v/>
      </c>
      <c r="I31" s="15">
        <f>MAX(0,I30+H31)</f>
        <v/>
      </c>
      <c r="J31" s="14">
        <f>B31*파라미터!$B$25</f>
        <v/>
      </c>
    </row>
    <row r="32">
      <c r="A32" s="14" t="n">
        <v>26</v>
      </c>
      <c r="B32" s="14">
        <f>IF($B$4=2,IF(AND(MOD($A32,파라미터!$B$6)=0,$A32&gt;=파라미터!$B$6),$B$3,0),IF(OR($A32&lt;파라미터!$B$6,MOD($A32,파라미터!$B$6)&gt;=$B$3),0,INT(($B$3-MOD($A32,파라미터!$B$6)-1)/파라미터!$B$6)+1))</f>
        <v/>
      </c>
      <c r="C32" s="15">
        <f>MIN(파라미터!$B$15,파라미터!$B$5*(IF(B32&gt;=1,파라미터!$B$10,0)+IF(B32&gt;=2,파라미터!$B$11,0)+IF(B32&gt;=3,파라미터!$B$12,0)))</f>
        <v/>
      </c>
      <c r="D32" s="15">
        <f>((B32*파라미터!$B$5-파라미터!$B$5*(IF(B32&gt;=1,파라미터!$B$10,0)+IF(B32&gt;=2,파라미터!$B$11,0)+IF(B32&gt;=3,파라미터!$B$12,0)))+MAX(0,파라미터!$B$5*(IF(B32&gt;=1,파라미터!$B$10,0)+IF(B32&gt;=2,파라미터!$B$11,0)+IF(B32&gt;=3,파라미터!$B$12,0))-파라미터!$B$15))*파라미터!$B$16</f>
        <v/>
      </c>
      <c r="E32" s="15">
        <f>B32*파라미터!$B$7</f>
        <v/>
      </c>
      <c r="F32" s="15">
        <f>MAX(0,파라미터!$B$19+파라미터!$B$20-C32)</f>
        <v/>
      </c>
      <c r="G32" s="15">
        <f>IF(MOD($A32-1,파라미터!$B$22)=0,파라미터!$B$21,0)</f>
        <v/>
      </c>
      <c r="H32" s="15">
        <f>D32-E32-F32-G32</f>
        <v/>
      </c>
      <c r="I32" s="15">
        <f>MAX(0,I31+H32)</f>
        <v/>
      </c>
      <c r="J32" s="14">
        <f>B32*파라미터!$B$25</f>
        <v/>
      </c>
    </row>
    <row r="33">
      <c r="A33" s="14" t="n">
        <v>27</v>
      </c>
      <c r="B33" s="14">
        <f>IF($B$4=2,IF(AND(MOD($A33,파라미터!$B$6)=0,$A33&gt;=파라미터!$B$6),$B$3,0),IF(OR($A33&lt;파라미터!$B$6,MOD($A33,파라미터!$B$6)&gt;=$B$3),0,INT(($B$3-MOD($A33,파라미터!$B$6)-1)/파라미터!$B$6)+1))</f>
        <v/>
      </c>
      <c r="C33" s="15">
        <f>MIN(파라미터!$B$15,파라미터!$B$5*(IF(B33&gt;=1,파라미터!$B$10,0)+IF(B33&gt;=2,파라미터!$B$11,0)+IF(B33&gt;=3,파라미터!$B$12,0)))</f>
        <v/>
      </c>
      <c r="D33" s="15">
        <f>((B33*파라미터!$B$5-파라미터!$B$5*(IF(B33&gt;=1,파라미터!$B$10,0)+IF(B33&gt;=2,파라미터!$B$11,0)+IF(B33&gt;=3,파라미터!$B$12,0)))+MAX(0,파라미터!$B$5*(IF(B33&gt;=1,파라미터!$B$10,0)+IF(B33&gt;=2,파라미터!$B$11,0)+IF(B33&gt;=3,파라미터!$B$12,0))-파라미터!$B$15))*파라미터!$B$16</f>
        <v/>
      </c>
      <c r="E33" s="15">
        <f>B33*파라미터!$B$7</f>
        <v/>
      </c>
      <c r="F33" s="15">
        <f>MAX(0,파라미터!$B$19+파라미터!$B$20-C33)</f>
        <v/>
      </c>
      <c r="G33" s="15">
        <f>IF(MOD($A33-1,파라미터!$B$22)=0,파라미터!$B$21,0)</f>
        <v/>
      </c>
      <c r="H33" s="15">
        <f>D33-E33-F33-G33</f>
        <v/>
      </c>
      <c r="I33" s="15">
        <f>MAX(0,I32+H33)</f>
        <v/>
      </c>
      <c r="J33" s="14">
        <f>B33*파라미터!$B$25</f>
        <v/>
      </c>
    </row>
    <row r="34">
      <c r="A34" s="14" t="n">
        <v>28</v>
      </c>
      <c r="B34" s="14">
        <f>IF($B$4=2,IF(AND(MOD($A34,파라미터!$B$6)=0,$A34&gt;=파라미터!$B$6),$B$3,0),IF(OR($A34&lt;파라미터!$B$6,MOD($A34,파라미터!$B$6)&gt;=$B$3),0,INT(($B$3-MOD($A34,파라미터!$B$6)-1)/파라미터!$B$6)+1))</f>
        <v/>
      </c>
      <c r="C34" s="15">
        <f>MIN(파라미터!$B$15,파라미터!$B$5*(IF(B34&gt;=1,파라미터!$B$10,0)+IF(B34&gt;=2,파라미터!$B$11,0)+IF(B34&gt;=3,파라미터!$B$12,0)))</f>
        <v/>
      </c>
      <c r="D34" s="15">
        <f>((B34*파라미터!$B$5-파라미터!$B$5*(IF(B34&gt;=1,파라미터!$B$10,0)+IF(B34&gt;=2,파라미터!$B$11,0)+IF(B34&gt;=3,파라미터!$B$12,0)))+MAX(0,파라미터!$B$5*(IF(B34&gt;=1,파라미터!$B$10,0)+IF(B34&gt;=2,파라미터!$B$11,0)+IF(B34&gt;=3,파라미터!$B$12,0))-파라미터!$B$15))*파라미터!$B$16</f>
        <v/>
      </c>
      <c r="E34" s="15">
        <f>B34*파라미터!$B$7</f>
        <v/>
      </c>
      <c r="F34" s="15">
        <f>MAX(0,파라미터!$B$19+파라미터!$B$20-C34)</f>
        <v/>
      </c>
      <c r="G34" s="15">
        <f>IF(MOD($A34-1,파라미터!$B$22)=0,파라미터!$B$21,0)</f>
        <v/>
      </c>
      <c r="H34" s="15">
        <f>D34-E34-F34-G34</f>
        <v/>
      </c>
      <c r="I34" s="15">
        <f>MAX(0,I33+H34)</f>
        <v/>
      </c>
      <c r="J34" s="14">
        <f>B34*파라미터!$B$25</f>
        <v/>
      </c>
    </row>
    <row r="35">
      <c r="A35" s="14" t="n">
        <v>29</v>
      </c>
      <c r="B35" s="14">
        <f>IF($B$4=2,IF(AND(MOD($A35,파라미터!$B$6)=0,$A35&gt;=파라미터!$B$6),$B$3,0),IF(OR($A35&lt;파라미터!$B$6,MOD($A35,파라미터!$B$6)&gt;=$B$3),0,INT(($B$3-MOD($A35,파라미터!$B$6)-1)/파라미터!$B$6)+1))</f>
        <v/>
      </c>
      <c r="C35" s="15">
        <f>MIN(파라미터!$B$15,파라미터!$B$5*(IF(B35&gt;=1,파라미터!$B$10,0)+IF(B35&gt;=2,파라미터!$B$11,0)+IF(B35&gt;=3,파라미터!$B$12,0)))</f>
        <v/>
      </c>
      <c r="D35" s="15">
        <f>((B35*파라미터!$B$5-파라미터!$B$5*(IF(B35&gt;=1,파라미터!$B$10,0)+IF(B35&gt;=2,파라미터!$B$11,0)+IF(B35&gt;=3,파라미터!$B$12,0)))+MAX(0,파라미터!$B$5*(IF(B35&gt;=1,파라미터!$B$10,0)+IF(B35&gt;=2,파라미터!$B$11,0)+IF(B35&gt;=3,파라미터!$B$12,0))-파라미터!$B$15))*파라미터!$B$16</f>
        <v/>
      </c>
      <c r="E35" s="15">
        <f>B35*파라미터!$B$7</f>
        <v/>
      </c>
      <c r="F35" s="15">
        <f>MAX(0,파라미터!$B$19+파라미터!$B$20-C35)</f>
        <v/>
      </c>
      <c r="G35" s="15">
        <f>IF(MOD($A35-1,파라미터!$B$22)=0,파라미터!$B$21,0)</f>
        <v/>
      </c>
      <c r="H35" s="15">
        <f>D35-E35-F35-G35</f>
        <v/>
      </c>
      <c r="I35" s="15">
        <f>MAX(0,I34+H35)</f>
        <v/>
      </c>
      <c r="J35" s="14">
        <f>B35*파라미터!$B$25</f>
        <v/>
      </c>
    </row>
    <row r="36">
      <c r="A36" s="14" t="n">
        <v>30</v>
      </c>
      <c r="B36" s="14">
        <f>IF($B$4=2,IF(AND(MOD($A36,파라미터!$B$6)=0,$A36&gt;=파라미터!$B$6),$B$3,0),IF(OR($A36&lt;파라미터!$B$6,MOD($A36,파라미터!$B$6)&gt;=$B$3),0,INT(($B$3-MOD($A36,파라미터!$B$6)-1)/파라미터!$B$6)+1))</f>
        <v/>
      </c>
      <c r="C36" s="15">
        <f>MIN(파라미터!$B$15,파라미터!$B$5*(IF(B36&gt;=1,파라미터!$B$10,0)+IF(B36&gt;=2,파라미터!$B$11,0)+IF(B36&gt;=3,파라미터!$B$12,0)))</f>
        <v/>
      </c>
      <c r="D36" s="15">
        <f>((B36*파라미터!$B$5-파라미터!$B$5*(IF(B36&gt;=1,파라미터!$B$10,0)+IF(B36&gt;=2,파라미터!$B$11,0)+IF(B36&gt;=3,파라미터!$B$12,0)))+MAX(0,파라미터!$B$5*(IF(B36&gt;=1,파라미터!$B$10,0)+IF(B36&gt;=2,파라미터!$B$11,0)+IF(B36&gt;=3,파라미터!$B$12,0))-파라미터!$B$15))*파라미터!$B$16</f>
        <v/>
      </c>
      <c r="E36" s="15">
        <f>B36*파라미터!$B$7</f>
        <v/>
      </c>
      <c r="F36" s="15">
        <f>MAX(0,파라미터!$B$19+파라미터!$B$20-C36)</f>
        <v/>
      </c>
      <c r="G36" s="15">
        <f>IF(MOD($A36-1,파라미터!$B$22)=0,파라미터!$B$21,0)</f>
        <v/>
      </c>
      <c r="H36" s="15">
        <f>D36-E36-F36-G36</f>
        <v/>
      </c>
      <c r="I36" s="15">
        <f>MAX(0,I35+H36)</f>
        <v/>
      </c>
      <c r="J36" s="14">
        <f>B36*파라미터!$B$25</f>
        <v/>
      </c>
    </row>
    <row r="37">
      <c r="A37" s="14" t="n">
        <v>31</v>
      </c>
      <c r="B37" s="14">
        <f>IF($B$4=2,IF(AND(MOD($A37,파라미터!$B$6)=0,$A37&gt;=파라미터!$B$6),$B$3,0),IF(OR($A37&lt;파라미터!$B$6,MOD($A37,파라미터!$B$6)&gt;=$B$3),0,INT(($B$3-MOD($A37,파라미터!$B$6)-1)/파라미터!$B$6)+1))</f>
        <v/>
      </c>
      <c r="C37" s="15">
        <f>MIN(파라미터!$B$15,파라미터!$B$5*(IF(B37&gt;=1,파라미터!$B$10,0)+IF(B37&gt;=2,파라미터!$B$11,0)+IF(B37&gt;=3,파라미터!$B$12,0)))</f>
        <v/>
      </c>
      <c r="D37" s="15">
        <f>((B37*파라미터!$B$5-파라미터!$B$5*(IF(B37&gt;=1,파라미터!$B$10,0)+IF(B37&gt;=2,파라미터!$B$11,0)+IF(B37&gt;=3,파라미터!$B$12,0)))+MAX(0,파라미터!$B$5*(IF(B37&gt;=1,파라미터!$B$10,0)+IF(B37&gt;=2,파라미터!$B$11,0)+IF(B37&gt;=3,파라미터!$B$12,0))-파라미터!$B$15))*파라미터!$B$16</f>
        <v/>
      </c>
      <c r="E37" s="15">
        <f>B37*파라미터!$B$7</f>
        <v/>
      </c>
      <c r="F37" s="15">
        <f>MAX(0,파라미터!$B$19+파라미터!$B$20-C37)</f>
        <v/>
      </c>
      <c r="G37" s="15">
        <f>IF(MOD($A37-1,파라미터!$B$22)=0,파라미터!$B$21,0)</f>
        <v/>
      </c>
      <c r="H37" s="15">
        <f>D37-E37-F37-G37</f>
        <v/>
      </c>
      <c r="I37" s="15">
        <f>MAX(0,I36+H37)</f>
        <v/>
      </c>
      <c r="J37" s="14">
        <f>B37*파라미터!$B$25</f>
        <v/>
      </c>
    </row>
    <row r="38">
      <c r="A38" s="14" t="n">
        <v>32</v>
      </c>
      <c r="B38" s="14">
        <f>IF($B$4=2,IF(AND(MOD($A38,파라미터!$B$6)=0,$A38&gt;=파라미터!$B$6),$B$3,0),IF(OR($A38&lt;파라미터!$B$6,MOD($A38,파라미터!$B$6)&gt;=$B$3),0,INT(($B$3-MOD($A38,파라미터!$B$6)-1)/파라미터!$B$6)+1))</f>
        <v/>
      </c>
      <c r="C38" s="15">
        <f>MIN(파라미터!$B$15,파라미터!$B$5*(IF(B38&gt;=1,파라미터!$B$10,0)+IF(B38&gt;=2,파라미터!$B$11,0)+IF(B38&gt;=3,파라미터!$B$12,0)))</f>
        <v/>
      </c>
      <c r="D38" s="15">
        <f>((B38*파라미터!$B$5-파라미터!$B$5*(IF(B38&gt;=1,파라미터!$B$10,0)+IF(B38&gt;=2,파라미터!$B$11,0)+IF(B38&gt;=3,파라미터!$B$12,0)))+MAX(0,파라미터!$B$5*(IF(B38&gt;=1,파라미터!$B$10,0)+IF(B38&gt;=2,파라미터!$B$11,0)+IF(B38&gt;=3,파라미터!$B$12,0))-파라미터!$B$15))*파라미터!$B$16</f>
        <v/>
      </c>
      <c r="E38" s="15">
        <f>B38*파라미터!$B$7</f>
        <v/>
      </c>
      <c r="F38" s="15">
        <f>MAX(0,파라미터!$B$19+파라미터!$B$20-C38)</f>
        <v/>
      </c>
      <c r="G38" s="15">
        <f>IF(MOD($A38-1,파라미터!$B$22)=0,파라미터!$B$21,0)</f>
        <v/>
      </c>
      <c r="H38" s="15">
        <f>D38-E38-F38-G38</f>
        <v/>
      </c>
      <c r="I38" s="15">
        <f>MAX(0,I37+H38)</f>
        <v/>
      </c>
      <c r="J38" s="14">
        <f>B38*파라미터!$B$25</f>
        <v/>
      </c>
    </row>
    <row r="39">
      <c r="A39" s="14" t="n">
        <v>33</v>
      </c>
      <c r="B39" s="14">
        <f>IF($B$4=2,IF(AND(MOD($A39,파라미터!$B$6)=0,$A39&gt;=파라미터!$B$6),$B$3,0),IF(OR($A39&lt;파라미터!$B$6,MOD($A39,파라미터!$B$6)&gt;=$B$3),0,INT(($B$3-MOD($A39,파라미터!$B$6)-1)/파라미터!$B$6)+1))</f>
        <v/>
      </c>
      <c r="C39" s="15">
        <f>MIN(파라미터!$B$15,파라미터!$B$5*(IF(B39&gt;=1,파라미터!$B$10,0)+IF(B39&gt;=2,파라미터!$B$11,0)+IF(B39&gt;=3,파라미터!$B$12,0)))</f>
        <v/>
      </c>
      <c r="D39" s="15">
        <f>((B39*파라미터!$B$5-파라미터!$B$5*(IF(B39&gt;=1,파라미터!$B$10,0)+IF(B39&gt;=2,파라미터!$B$11,0)+IF(B39&gt;=3,파라미터!$B$12,0)))+MAX(0,파라미터!$B$5*(IF(B39&gt;=1,파라미터!$B$10,0)+IF(B39&gt;=2,파라미터!$B$11,0)+IF(B39&gt;=3,파라미터!$B$12,0))-파라미터!$B$15))*파라미터!$B$16</f>
        <v/>
      </c>
      <c r="E39" s="15">
        <f>B39*파라미터!$B$7</f>
        <v/>
      </c>
      <c r="F39" s="15">
        <f>MAX(0,파라미터!$B$19+파라미터!$B$20-C39)</f>
        <v/>
      </c>
      <c r="G39" s="15">
        <f>IF(MOD($A39-1,파라미터!$B$22)=0,파라미터!$B$21,0)</f>
        <v/>
      </c>
      <c r="H39" s="15">
        <f>D39-E39-F39-G39</f>
        <v/>
      </c>
      <c r="I39" s="15">
        <f>MAX(0,I38+H39)</f>
        <v/>
      </c>
      <c r="J39" s="14">
        <f>B39*파라미터!$B$25</f>
        <v/>
      </c>
    </row>
    <row r="40">
      <c r="A40" s="14" t="n">
        <v>34</v>
      </c>
      <c r="B40" s="14">
        <f>IF($B$4=2,IF(AND(MOD($A40,파라미터!$B$6)=0,$A40&gt;=파라미터!$B$6),$B$3,0),IF(OR($A40&lt;파라미터!$B$6,MOD($A40,파라미터!$B$6)&gt;=$B$3),0,INT(($B$3-MOD($A40,파라미터!$B$6)-1)/파라미터!$B$6)+1))</f>
        <v/>
      </c>
      <c r="C40" s="15">
        <f>MIN(파라미터!$B$15,파라미터!$B$5*(IF(B40&gt;=1,파라미터!$B$10,0)+IF(B40&gt;=2,파라미터!$B$11,0)+IF(B40&gt;=3,파라미터!$B$12,0)))</f>
        <v/>
      </c>
      <c r="D40" s="15">
        <f>((B40*파라미터!$B$5-파라미터!$B$5*(IF(B40&gt;=1,파라미터!$B$10,0)+IF(B40&gt;=2,파라미터!$B$11,0)+IF(B40&gt;=3,파라미터!$B$12,0)))+MAX(0,파라미터!$B$5*(IF(B40&gt;=1,파라미터!$B$10,0)+IF(B40&gt;=2,파라미터!$B$11,0)+IF(B40&gt;=3,파라미터!$B$12,0))-파라미터!$B$15))*파라미터!$B$16</f>
        <v/>
      </c>
      <c r="E40" s="15">
        <f>B40*파라미터!$B$7</f>
        <v/>
      </c>
      <c r="F40" s="15">
        <f>MAX(0,파라미터!$B$19+파라미터!$B$20-C40)</f>
        <v/>
      </c>
      <c r="G40" s="15">
        <f>IF(MOD($A40-1,파라미터!$B$22)=0,파라미터!$B$21,0)</f>
        <v/>
      </c>
      <c r="H40" s="15">
        <f>D40-E40-F40-G40</f>
        <v/>
      </c>
      <c r="I40" s="15">
        <f>MAX(0,I39+H40)</f>
        <v/>
      </c>
      <c r="J40" s="14">
        <f>B40*파라미터!$B$25</f>
        <v/>
      </c>
    </row>
    <row r="41">
      <c r="A41" s="14" t="n">
        <v>35</v>
      </c>
      <c r="B41" s="14">
        <f>IF($B$4=2,IF(AND(MOD($A41,파라미터!$B$6)=0,$A41&gt;=파라미터!$B$6),$B$3,0),IF(OR($A41&lt;파라미터!$B$6,MOD($A41,파라미터!$B$6)&gt;=$B$3),0,INT(($B$3-MOD($A41,파라미터!$B$6)-1)/파라미터!$B$6)+1))</f>
        <v/>
      </c>
      <c r="C41" s="15">
        <f>MIN(파라미터!$B$15,파라미터!$B$5*(IF(B41&gt;=1,파라미터!$B$10,0)+IF(B41&gt;=2,파라미터!$B$11,0)+IF(B41&gt;=3,파라미터!$B$12,0)))</f>
        <v/>
      </c>
      <c r="D41" s="15">
        <f>((B41*파라미터!$B$5-파라미터!$B$5*(IF(B41&gt;=1,파라미터!$B$10,0)+IF(B41&gt;=2,파라미터!$B$11,0)+IF(B41&gt;=3,파라미터!$B$12,0)))+MAX(0,파라미터!$B$5*(IF(B41&gt;=1,파라미터!$B$10,0)+IF(B41&gt;=2,파라미터!$B$11,0)+IF(B41&gt;=3,파라미터!$B$12,0))-파라미터!$B$15))*파라미터!$B$16</f>
        <v/>
      </c>
      <c r="E41" s="15">
        <f>B41*파라미터!$B$7</f>
        <v/>
      </c>
      <c r="F41" s="15">
        <f>MAX(0,파라미터!$B$19+파라미터!$B$20-C41)</f>
        <v/>
      </c>
      <c r="G41" s="15">
        <f>IF(MOD($A41-1,파라미터!$B$22)=0,파라미터!$B$21,0)</f>
        <v/>
      </c>
      <c r="H41" s="15">
        <f>D41-E41-F41-G41</f>
        <v/>
      </c>
      <c r="I41" s="15">
        <f>MAX(0,I40+H41)</f>
        <v/>
      </c>
      <c r="J41" s="14">
        <f>B41*파라미터!$B$25</f>
        <v/>
      </c>
    </row>
    <row r="42">
      <c r="A42" s="14" t="n">
        <v>36</v>
      </c>
      <c r="B42" s="14">
        <f>IF($B$4=2,IF(AND(MOD($A42,파라미터!$B$6)=0,$A42&gt;=파라미터!$B$6),$B$3,0),IF(OR($A42&lt;파라미터!$B$6,MOD($A42,파라미터!$B$6)&gt;=$B$3),0,INT(($B$3-MOD($A42,파라미터!$B$6)-1)/파라미터!$B$6)+1))</f>
        <v/>
      </c>
      <c r="C42" s="15">
        <f>MIN(파라미터!$B$15,파라미터!$B$5*(IF(B42&gt;=1,파라미터!$B$10,0)+IF(B42&gt;=2,파라미터!$B$11,0)+IF(B42&gt;=3,파라미터!$B$12,0)))</f>
        <v/>
      </c>
      <c r="D42" s="15">
        <f>((B42*파라미터!$B$5-파라미터!$B$5*(IF(B42&gt;=1,파라미터!$B$10,0)+IF(B42&gt;=2,파라미터!$B$11,0)+IF(B42&gt;=3,파라미터!$B$12,0)))+MAX(0,파라미터!$B$5*(IF(B42&gt;=1,파라미터!$B$10,0)+IF(B42&gt;=2,파라미터!$B$11,0)+IF(B42&gt;=3,파라미터!$B$12,0))-파라미터!$B$15))*파라미터!$B$16</f>
        <v/>
      </c>
      <c r="E42" s="15">
        <f>B42*파라미터!$B$7</f>
        <v/>
      </c>
      <c r="F42" s="15">
        <f>MAX(0,파라미터!$B$19+파라미터!$B$20-C42)</f>
        <v/>
      </c>
      <c r="G42" s="15">
        <f>IF(MOD($A42-1,파라미터!$B$22)=0,파라미터!$B$21,0)</f>
        <v/>
      </c>
      <c r="H42" s="15">
        <f>D42-E42-F42-G42</f>
        <v/>
      </c>
      <c r="I42" s="15">
        <f>MAX(0,I41+H42)</f>
        <v/>
      </c>
      <c r="J42" s="14">
        <f>B42*파라미터!$B$25</f>
        <v/>
      </c>
    </row>
    <row r="43">
      <c r="A43" s="14" t="n">
        <v>37</v>
      </c>
      <c r="B43" s="14">
        <f>IF($B$4=2,IF(AND(MOD($A43,파라미터!$B$6)=0,$A43&gt;=파라미터!$B$6),$B$3,0),IF(OR($A43&lt;파라미터!$B$6,MOD($A43,파라미터!$B$6)&gt;=$B$3),0,INT(($B$3-MOD($A43,파라미터!$B$6)-1)/파라미터!$B$6)+1))</f>
        <v/>
      </c>
      <c r="C43" s="15">
        <f>MIN(파라미터!$B$15,파라미터!$B$5*(IF(B43&gt;=1,파라미터!$B$10,0)+IF(B43&gt;=2,파라미터!$B$11,0)+IF(B43&gt;=3,파라미터!$B$12,0)))</f>
        <v/>
      </c>
      <c r="D43" s="15">
        <f>((B43*파라미터!$B$5-파라미터!$B$5*(IF(B43&gt;=1,파라미터!$B$10,0)+IF(B43&gt;=2,파라미터!$B$11,0)+IF(B43&gt;=3,파라미터!$B$12,0)))+MAX(0,파라미터!$B$5*(IF(B43&gt;=1,파라미터!$B$10,0)+IF(B43&gt;=2,파라미터!$B$11,0)+IF(B43&gt;=3,파라미터!$B$12,0))-파라미터!$B$15))*파라미터!$B$16</f>
        <v/>
      </c>
      <c r="E43" s="15">
        <f>B43*파라미터!$B$7</f>
        <v/>
      </c>
      <c r="F43" s="15">
        <f>MAX(0,파라미터!$B$19+파라미터!$B$20-C43)</f>
        <v/>
      </c>
      <c r="G43" s="15">
        <f>IF(MOD($A43-1,파라미터!$B$22)=0,파라미터!$B$21,0)</f>
        <v/>
      </c>
      <c r="H43" s="15">
        <f>D43-E43-F43-G43</f>
        <v/>
      </c>
      <c r="I43" s="15">
        <f>MAX(0,I42+H43)</f>
        <v/>
      </c>
      <c r="J43" s="14">
        <f>B43*파라미터!$B$25</f>
        <v/>
      </c>
    </row>
    <row r="44">
      <c r="A44" s="14" t="n">
        <v>38</v>
      </c>
      <c r="B44" s="14">
        <f>IF($B$4=2,IF(AND(MOD($A44,파라미터!$B$6)=0,$A44&gt;=파라미터!$B$6),$B$3,0),IF(OR($A44&lt;파라미터!$B$6,MOD($A44,파라미터!$B$6)&gt;=$B$3),0,INT(($B$3-MOD($A44,파라미터!$B$6)-1)/파라미터!$B$6)+1))</f>
        <v/>
      </c>
      <c r="C44" s="15">
        <f>MIN(파라미터!$B$15,파라미터!$B$5*(IF(B44&gt;=1,파라미터!$B$10,0)+IF(B44&gt;=2,파라미터!$B$11,0)+IF(B44&gt;=3,파라미터!$B$12,0)))</f>
        <v/>
      </c>
      <c r="D44" s="15">
        <f>((B44*파라미터!$B$5-파라미터!$B$5*(IF(B44&gt;=1,파라미터!$B$10,0)+IF(B44&gt;=2,파라미터!$B$11,0)+IF(B44&gt;=3,파라미터!$B$12,0)))+MAX(0,파라미터!$B$5*(IF(B44&gt;=1,파라미터!$B$10,0)+IF(B44&gt;=2,파라미터!$B$11,0)+IF(B44&gt;=3,파라미터!$B$12,0))-파라미터!$B$15))*파라미터!$B$16</f>
        <v/>
      </c>
      <c r="E44" s="15">
        <f>B44*파라미터!$B$7</f>
        <v/>
      </c>
      <c r="F44" s="15">
        <f>MAX(0,파라미터!$B$19+파라미터!$B$20-C44)</f>
        <v/>
      </c>
      <c r="G44" s="15">
        <f>IF(MOD($A44-1,파라미터!$B$22)=0,파라미터!$B$21,0)</f>
        <v/>
      </c>
      <c r="H44" s="15">
        <f>D44-E44-F44-G44</f>
        <v/>
      </c>
      <c r="I44" s="15">
        <f>MAX(0,I43+H44)</f>
        <v/>
      </c>
      <c r="J44" s="14">
        <f>B44*파라미터!$B$25</f>
        <v/>
      </c>
    </row>
    <row r="45">
      <c r="A45" s="14" t="n">
        <v>39</v>
      </c>
      <c r="B45" s="14">
        <f>IF($B$4=2,IF(AND(MOD($A45,파라미터!$B$6)=0,$A45&gt;=파라미터!$B$6),$B$3,0),IF(OR($A45&lt;파라미터!$B$6,MOD($A45,파라미터!$B$6)&gt;=$B$3),0,INT(($B$3-MOD($A45,파라미터!$B$6)-1)/파라미터!$B$6)+1))</f>
        <v/>
      </c>
      <c r="C45" s="15">
        <f>MIN(파라미터!$B$15,파라미터!$B$5*(IF(B45&gt;=1,파라미터!$B$10,0)+IF(B45&gt;=2,파라미터!$B$11,0)+IF(B45&gt;=3,파라미터!$B$12,0)))</f>
        <v/>
      </c>
      <c r="D45" s="15">
        <f>((B45*파라미터!$B$5-파라미터!$B$5*(IF(B45&gt;=1,파라미터!$B$10,0)+IF(B45&gt;=2,파라미터!$B$11,0)+IF(B45&gt;=3,파라미터!$B$12,0)))+MAX(0,파라미터!$B$5*(IF(B45&gt;=1,파라미터!$B$10,0)+IF(B45&gt;=2,파라미터!$B$11,0)+IF(B45&gt;=3,파라미터!$B$12,0))-파라미터!$B$15))*파라미터!$B$16</f>
        <v/>
      </c>
      <c r="E45" s="15">
        <f>B45*파라미터!$B$7</f>
        <v/>
      </c>
      <c r="F45" s="15">
        <f>MAX(0,파라미터!$B$19+파라미터!$B$20-C45)</f>
        <v/>
      </c>
      <c r="G45" s="15">
        <f>IF(MOD($A45-1,파라미터!$B$22)=0,파라미터!$B$21,0)</f>
        <v/>
      </c>
      <c r="H45" s="15">
        <f>D45-E45-F45-G45</f>
        <v/>
      </c>
      <c r="I45" s="15">
        <f>MAX(0,I44+H45)</f>
        <v/>
      </c>
      <c r="J45" s="14">
        <f>B45*파라미터!$B$25</f>
        <v/>
      </c>
    </row>
    <row r="46">
      <c r="A46" s="14" t="n">
        <v>40</v>
      </c>
      <c r="B46" s="14">
        <f>IF($B$4=2,IF(AND(MOD($A46,파라미터!$B$6)=0,$A46&gt;=파라미터!$B$6),$B$3,0),IF(OR($A46&lt;파라미터!$B$6,MOD($A46,파라미터!$B$6)&gt;=$B$3),0,INT(($B$3-MOD($A46,파라미터!$B$6)-1)/파라미터!$B$6)+1))</f>
        <v/>
      </c>
      <c r="C46" s="15">
        <f>MIN(파라미터!$B$15,파라미터!$B$5*(IF(B46&gt;=1,파라미터!$B$10,0)+IF(B46&gt;=2,파라미터!$B$11,0)+IF(B46&gt;=3,파라미터!$B$12,0)))</f>
        <v/>
      </c>
      <c r="D46" s="15">
        <f>((B46*파라미터!$B$5-파라미터!$B$5*(IF(B46&gt;=1,파라미터!$B$10,0)+IF(B46&gt;=2,파라미터!$B$11,0)+IF(B46&gt;=3,파라미터!$B$12,0)))+MAX(0,파라미터!$B$5*(IF(B46&gt;=1,파라미터!$B$10,0)+IF(B46&gt;=2,파라미터!$B$11,0)+IF(B46&gt;=3,파라미터!$B$12,0))-파라미터!$B$15))*파라미터!$B$16</f>
        <v/>
      </c>
      <c r="E46" s="15">
        <f>B46*파라미터!$B$7</f>
        <v/>
      </c>
      <c r="F46" s="15">
        <f>MAX(0,파라미터!$B$19+파라미터!$B$20-C46)</f>
        <v/>
      </c>
      <c r="G46" s="15">
        <f>IF(MOD($A46-1,파라미터!$B$22)=0,파라미터!$B$21,0)</f>
        <v/>
      </c>
      <c r="H46" s="15">
        <f>D46-E46-F46-G46</f>
        <v/>
      </c>
      <c r="I46" s="15">
        <f>MAX(0,I45+H46)</f>
        <v/>
      </c>
      <c r="J46" s="14">
        <f>B46*파라미터!$B$25</f>
        <v/>
      </c>
    </row>
    <row r="47">
      <c r="A47" s="14" t="n">
        <v>41</v>
      </c>
      <c r="B47" s="14">
        <f>IF($B$4=2,IF(AND(MOD($A47,파라미터!$B$6)=0,$A47&gt;=파라미터!$B$6),$B$3,0),IF(OR($A47&lt;파라미터!$B$6,MOD($A47,파라미터!$B$6)&gt;=$B$3),0,INT(($B$3-MOD($A47,파라미터!$B$6)-1)/파라미터!$B$6)+1))</f>
        <v/>
      </c>
      <c r="C47" s="15">
        <f>MIN(파라미터!$B$15,파라미터!$B$5*(IF(B47&gt;=1,파라미터!$B$10,0)+IF(B47&gt;=2,파라미터!$B$11,0)+IF(B47&gt;=3,파라미터!$B$12,0)))</f>
        <v/>
      </c>
      <c r="D47" s="15">
        <f>((B47*파라미터!$B$5-파라미터!$B$5*(IF(B47&gt;=1,파라미터!$B$10,0)+IF(B47&gt;=2,파라미터!$B$11,0)+IF(B47&gt;=3,파라미터!$B$12,0)))+MAX(0,파라미터!$B$5*(IF(B47&gt;=1,파라미터!$B$10,0)+IF(B47&gt;=2,파라미터!$B$11,0)+IF(B47&gt;=3,파라미터!$B$12,0))-파라미터!$B$15))*파라미터!$B$16</f>
        <v/>
      </c>
      <c r="E47" s="15">
        <f>B47*파라미터!$B$7</f>
        <v/>
      </c>
      <c r="F47" s="15">
        <f>MAX(0,파라미터!$B$19+파라미터!$B$20-C47)</f>
        <v/>
      </c>
      <c r="G47" s="15">
        <f>IF(MOD($A47-1,파라미터!$B$22)=0,파라미터!$B$21,0)</f>
        <v/>
      </c>
      <c r="H47" s="15">
        <f>D47-E47-F47-G47</f>
        <v/>
      </c>
      <c r="I47" s="15">
        <f>MAX(0,I46+H47)</f>
        <v/>
      </c>
      <c r="J47" s="14">
        <f>B47*파라미터!$B$25</f>
        <v/>
      </c>
    </row>
    <row r="48">
      <c r="A48" s="14" t="n">
        <v>42</v>
      </c>
      <c r="B48" s="14">
        <f>IF($B$4=2,IF(AND(MOD($A48,파라미터!$B$6)=0,$A48&gt;=파라미터!$B$6),$B$3,0),IF(OR($A48&lt;파라미터!$B$6,MOD($A48,파라미터!$B$6)&gt;=$B$3),0,INT(($B$3-MOD($A48,파라미터!$B$6)-1)/파라미터!$B$6)+1))</f>
        <v/>
      </c>
      <c r="C48" s="15">
        <f>MIN(파라미터!$B$15,파라미터!$B$5*(IF(B48&gt;=1,파라미터!$B$10,0)+IF(B48&gt;=2,파라미터!$B$11,0)+IF(B48&gt;=3,파라미터!$B$12,0)))</f>
        <v/>
      </c>
      <c r="D48" s="15">
        <f>((B48*파라미터!$B$5-파라미터!$B$5*(IF(B48&gt;=1,파라미터!$B$10,0)+IF(B48&gt;=2,파라미터!$B$11,0)+IF(B48&gt;=3,파라미터!$B$12,0)))+MAX(0,파라미터!$B$5*(IF(B48&gt;=1,파라미터!$B$10,0)+IF(B48&gt;=2,파라미터!$B$11,0)+IF(B48&gt;=3,파라미터!$B$12,0))-파라미터!$B$15))*파라미터!$B$16</f>
        <v/>
      </c>
      <c r="E48" s="15">
        <f>B48*파라미터!$B$7</f>
        <v/>
      </c>
      <c r="F48" s="15">
        <f>MAX(0,파라미터!$B$19+파라미터!$B$20-C48)</f>
        <v/>
      </c>
      <c r="G48" s="15">
        <f>IF(MOD($A48-1,파라미터!$B$22)=0,파라미터!$B$21,0)</f>
        <v/>
      </c>
      <c r="H48" s="15">
        <f>D48-E48-F48-G48</f>
        <v/>
      </c>
      <c r="I48" s="15">
        <f>MAX(0,I47+H48)</f>
        <v/>
      </c>
      <c r="J48" s="14">
        <f>B48*파라미터!$B$25</f>
        <v/>
      </c>
    </row>
    <row r="49">
      <c r="A49" s="14" t="n">
        <v>43</v>
      </c>
      <c r="B49" s="14">
        <f>IF($B$4=2,IF(AND(MOD($A49,파라미터!$B$6)=0,$A49&gt;=파라미터!$B$6),$B$3,0),IF(OR($A49&lt;파라미터!$B$6,MOD($A49,파라미터!$B$6)&gt;=$B$3),0,INT(($B$3-MOD($A49,파라미터!$B$6)-1)/파라미터!$B$6)+1))</f>
        <v/>
      </c>
      <c r="C49" s="15">
        <f>MIN(파라미터!$B$15,파라미터!$B$5*(IF(B49&gt;=1,파라미터!$B$10,0)+IF(B49&gt;=2,파라미터!$B$11,0)+IF(B49&gt;=3,파라미터!$B$12,0)))</f>
        <v/>
      </c>
      <c r="D49" s="15">
        <f>((B49*파라미터!$B$5-파라미터!$B$5*(IF(B49&gt;=1,파라미터!$B$10,0)+IF(B49&gt;=2,파라미터!$B$11,0)+IF(B49&gt;=3,파라미터!$B$12,0)))+MAX(0,파라미터!$B$5*(IF(B49&gt;=1,파라미터!$B$10,0)+IF(B49&gt;=2,파라미터!$B$11,0)+IF(B49&gt;=3,파라미터!$B$12,0))-파라미터!$B$15))*파라미터!$B$16</f>
        <v/>
      </c>
      <c r="E49" s="15">
        <f>B49*파라미터!$B$7</f>
        <v/>
      </c>
      <c r="F49" s="15">
        <f>MAX(0,파라미터!$B$19+파라미터!$B$20-C49)</f>
        <v/>
      </c>
      <c r="G49" s="15">
        <f>IF(MOD($A49-1,파라미터!$B$22)=0,파라미터!$B$21,0)</f>
        <v/>
      </c>
      <c r="H49" s="15">
        <f>D49-E49-F49-G49</f>
        <v/>
      </c>
      <c r="I49" s="15">
        <f>MAX(0,I48+H49)</f>
        <v/>
      </c>
      <c r="J49" s="14">
        <f>B49*파라미터!$B$25</f>
        <v/>
      </c>
    </row>
    <row r="50">
      <c r="A50" s="14" t="n">
        <v>44</v>
      </c>
      <c r="B50" s="14">
        <f>IF($B$4=2,IF(AND(MOD($A50,파라미터!$B$6)=0,$A50&gt;=파라미터!$B$6),$B$3,0),IF(OR($A50&lt;파라미터!$B$6,MOD($A50,파라미터!$B$6)&gt;=$B$3),0,INT(($B$3-MOD($A50,파라미터!$B$6)-1)/파라미터!$B$6)+1))</f>
        <v/>
      </c>
      <c r="C50" s="15">
        <f>MIN(파라미터!$B$15,파라미터!$B$5*(IF(B50&gt;=1,파라미터!$B$10,0)+IF(B50&gt;=2,파라미터!$B$11,0)+IF(B50&gt;=3,파라미터!$B$12,0)))</f>
        <v/>
      </c>
      <c r="D50" s="15">
        <f>((B50*파라미터!$B$5-파라미터!$B$5*(IF(B50&gt;=1,파라미터!$B$10,0)+IF(B50&gt;=2,파라미터!$B$11,0)+IF(B50&gt;=3,파라미터!$B$12,0)))+MAX(0,파라미터!$B$5*(IF(B50&gt;=1,파라미터!$B$10,0)+IF(B50&gt;=2,파라미터!$B$11,0)+IF(B50&gt;=3,파라미터!$B$12,0))-파라미터!$B$15))*파라미터!$B$16</f>
        <v/>
      </c>
      <c r="E50" s="15">
        <f>B50*파라미터!$B$7</f>
        <v/>
      </c>
      <c r="F50" s="15">
        <f>MAX(0,파라미터!$B$19+파라미터!$B$20-C50)</f>
        <v/>
      </c>
      <c r="G50" s="15">
        <f>IF(MOD($A50-1,파라미터!$B$22)=0,파라미터!$B$21,0)</f>
        <v/>
      </c>
      <c r="H50" s="15">
        <f>D50-E50-F50-G50</f>
        <v/>
      </c>
      <c r="I50" s="15">
        <f>MAX(0,I49+H50)</f>
        <v/>
      </c>
      <c r="J50" s="14">
        <f>B50*파라미터!$B$25</f>
        <v/>
      </c>
    </row>
    <row r="51">
      <c r="A51" s="14" t="n">
        <v>45</v>
      </c>
      <c r="B51" s="14">
        <f>IF($B$4=2,IF(AND(MOD($A51,파라미터!$B$6)=0,$A51&gt;=파라미터!$B$6),$B$3,0),IF(OR($A51&lt;파라미터!$B$6,MOD($A51,파라미터!$B$6)&gt;=$B$3),0,INT(($B$3-MOD($A51,파라미터!$B$6)-1)/파라미터!$B$6)+1))</f>
        <v/>
      </c>
      <c r="C51" s="15">
        <f>MIN(파라미터!$B$15,파라미터!$B$5*(IF(B51&gt;=1,파라미터!$B$10,0)+IF(B51&gt;=2,파라미터!$B$11,0)+IF(B51&gt;=3,파라미터!$B$12,0)))</f>
        <v/>
      </c>
      <c r="D51" s="15">
        <f>((B51*파라미터!$B$5-파라미터!$B$5*(IF(B51&gt;=1,파라미터!$B$10,0)+IF(B51&gt;=2,파라미터!$B$11,0)+IF(B51&gt;=3,파라미터!$B$12,0)))+MAX(0,파라미터!$B$5*(IF(B51&gt;=1,파라미터!$B$10,0)+IF(B51&gt;=2,파라미터!$B$11,0)+IF(B51&gt;=3,파라미터!$B$12,0))-파라미터!$B$15))*파라미터!$B$16</f>
        <v/>
      </c>
      <c r="E51" s="15">
        <f>B51*파라미터!$B$7</f>
        <v/>
      </c>
      <c r="F51" s="15">
        <f>MAX(0,파라미터!$B$19+파라미터!$B$20-C51)</f>
        <v/>
      </c>
      <c r="G51" s="15">
        <f>IF(MOD($A51-1,파라미터!$B$22)=0,파라미터!$B$21,0)</f>
        <v/>
      </c>
      <c r="H51" s="15">
        <f>D51-E51-F51-G51</f>
        <v/>
      </c>
      <c r="I51" s="15">
        <f>MAX(0,I50+H51)</f>
        <v/>
      </c>
      <c r="J51" s="14">
        <f>B51*파라미터!$B$25</f>
        <v/>
      </c>
    </row>
    <row r="52">
      <c r="A52" s="14" t="n">
        <v>46</v>
      </c>
      <c r="B52" s="14">
        <f>IF($B$4=2,IF(AND(MOD($A52,파라미터!$B$6)=0,$A52&gt;=파라미터!$B$6),$B$3,0),IF(OR($A52&lt;파라미터!$B$6,MOD($A52,파라미터!$B$6)&gt;=$B$3),0,INT(($B$3-MOD($A52,파라미터!$B$6)-1)/파라미터!$B$6)+1))</f>
        <v/>
      </c>
      <c r="C52" s="15">
        <f>MIN(파라미터!$B$15,파라미터!$B$5*(IF(B52&gt;=1,파라미터!$B$10,0)+IF(B52&gt;=2,파라미터!$B$11,0)+IF(B52&gt;=3,파라미터!$B$12,0)))</f>
        <v/>
      </c>
      <c r="D52" s="15">
        <f>((B52*파라미터!$B$5-파라미터!$B$5*(IF(B52&gt;=1,파라미터!$B$10,0)+IF(B52&gt;=2,파라미터!$B$11,0)+IF(B52&gt;=3,파라미터!$B$12,0)))+MAX(0,파라미터!$B$5*(IF(B52&gt;=1,파라미터!$B$10,0)+IF(B52&gt;=2,파라미터!$B$11,0)+IF(B52&gt;=3,파라미터!$B$12,0))-파라미터!$B$15))*파라미터!$B$16</f>
        <v/>
      </c>
      <c r="E52" s="15">
        <f>B52*파라미터!$B$7</f>
        <v/>
      </c>
      <c r="F52" s="15">
        <f>MAX(0,파라미터!$B$19+파라미터!$B$20-C52)</f>
        <v/>
      </c>
      <c r="G52" s="15">
        <f>IF(MOD($A52-1,파라미터!$B$22)=0,파라미터!$B$21,0)</f>
        <v/>
      </c>
      <c r="H52" s="15">
        <f>D52-E52-F52-G52</f>
        <v/>
      </c>
      <c r="I52" s="15">
        <f>MAX(0,I51+H52)</f>
        <v/>
      </c>
      <c r="J52" s="14">
        <f>B52*파라미터!$B$25</f>
        <v/>
      </c>
    </row>
    <row r="53">
      <c r="A53" s="14" t="n">
        <v>47</v>
      </c>
      <c r="B53" s="14">
        <f>IF($B$4=2,IF(AND(MOD($A53,파라미터!$B$6)=0,$A53&gt;=파라미터!$B$6),$B$3,0),IF(OR($A53&lt;파라미터!$B$6,MOD($A53,파라미터!$B$6)&gt;=$B$3),0,INT(($B$3-MOD($A53,파라미터!$B$6)-1)/파라미터!$B$6)+1))</f>
        <v/>
      </c>
      <c r="C53" s="15">
        <f>MIN(파라미터!$B$15,파라미터!$B$5*(IF(B53&gt;=1,파라미터!$B$10,0)+IF(B53&gt;=2,파라미터!$B$11,0)+IF(B53&gt;=3,파라미터!$B$12,0)))</f>
        <v/>
      </c>
      <c r="D53" s="15">
        <f>((B53*파라미터!$B$5-파라미터!$B$5*(IF(B53&gt;=1,파라미터!$B$10,0)+IF(B53&gt;=2,파라미터!$B$11,0)+IF(B53&gt;=3,파라미터!$B$12,0)))+MAX(0,파라미터!$B$5*(IF(B53&gt;=1,파라미터!$B$10,0)+IF(B53&gt;=2,파라미터!$B$11,0)+IF(B53&gt;=3,파라미터!$B$12,0))-파라미터!$B$15))*파라미터!$B$16</f>
        <v/>
      </c>
      <c r="E53" s="15">
        <f>B53*파라미터!$B$7</f>
        <v/>
      </c>
      <c r="F53" s="15">
        <f>MAX(0,파라미터!$B$19+파라미터!$B$20-C53)</f>
        <v/>
      </c>
      <c r="G53" s="15">
        <f>IF(MOD($A53-1,파라미터!$B$22)=0,파라미터!$B$21,0)</f>
        <v/>
      </c>
      <c r="H53" s="15">
        <f>D53-E53-F53-G53</f>
        <v/>
      </c>
      <c r="I53" s="15">
        <f>MAX(0,I52+H53)</f>
        <v/>
      </c>
      <c r="J53" s="14">
        <f>B53*파라미터!$B$25</f>
        <v/>
      </c>
    </row>
    <row r="54">
      <c r="A54" s="14" t="n">
        <v>48</v>
      </c>
      <c r="B54" s="14">
        <f>IF($B$4=2,IF(AND(MOD($A54,파라미터!$B$6)=0,$A54&gt;=파라미터!$B$6),$B$3,0),IF(OR($A54&lt;파라미터!$B$6,MOD($A54,파라미터!$B$6)&gt;=$B$3),0,INT(($B$3-MOD($A54,파라미터!$B$6)-1)/파라미터!$B$6)+1))</f>
        <v/>
      </c>
      <c r="C54" s="15">
        <f>MIN(파라미터!$B$15,파라미터!$B$5*(IF(B54&gt;=1,파라미터!$B$10,0)+IF(B54&gt;=2,파라미터!$B$11,0)+IF(B54&gt;=3,파라미터!$B$12,0)))</f>
        <v/>
      </c>
      <c r="D54" s="15">
        <f>((B54*파라미터!$B$5-파라미터!$B$5*(IF(B54&gt;=1,파라미터!$B$10,0)+IF(B54&gt;=2,파라미터!$B$11,0)+IF(B54&gt;=3,파라미터!$B$12,0)))+MAX(0,파라미터!$B$5*(IF(B54&gt;=1,파라미터!$B$10,0)+IF(B54&gt;=2,파라미터!$B$11,0)+IF(B54&gt;=3,파라미터!$B$12,0))-파라미터!$B$15))*파라미터!$B$16</f>
        <v/>
      </c>
      <c r="E54" s="15">
        <f>B54*파라미터!$B$7</f>
        <v/>
      </c>
      <c r="F54" s="15">
        <f>MAX(0,파라미터!$B$19+파라미터!$B$20-C54)</f>
        <v/>
      </c>
      <c r="G54" s="15">
        <f>IF(MOD($A54-1,파라미터!$B$22)=0,파라미터!$B$21,0)</f>
        <v/>
      </c>
      <c r="H54" s="15">
        <f>D54-E54-F54-G54</f>
        <v/>
      </c>
      <c r="I54" s="15">
        <f>MAX(0,I53+H54)</f>
        <v/>
      </c>
      <c r="J54" s="14">
        <f>B54*파라미터!$B$25</f>
        <v/>
      </c>
    </row>
    <row r="55">
      <c r="A55" s="14" t="n">
        <v>49</v>
      </c>
      <c r="B55" s="14">
        <f>IF($B$4=2,IF(AND(MOD($A55,파라미터!$B$6)=0,$A55&gt;=파라미터!$B$6),$B$3,0),IF(OR($A55&lt;파라미터!$B$6,MOD($A55,파라미터!$B$6)&gt;=$B$3),0,INT(($B$3-MOD($A55,파라미터!$B$6)-1)/파라미터!$B$6)+1))</f>
        <v/>
      </c>
      <c r="C55" s="15">
        <f>MIN(파라미터!$B$15,파라미터!$B$5*(IF(B55&gt;=1,파라미터!$B$10,0)+IF(B55&gt;=2,파라미터!$B$11,0)+IF(B55&gt;=3,파라미터!$B$12,0)))</f>
        <v/>
      </c>
      <c r="D55" s="15">
        <f>((B55*파라미터!$B$5-파라미터!$B$5*(IF(B55&gt;=1,파라미터!$B$10,0)+IF(B55&gt;=2,파라미터!$B$11,0)+IF(B55&gt;=3,파라미터!$B$12,0)))+MAX(0,파라미터!$B$5*(IF(B55&gt;=1,파라미터!$B$10,0)+IF(B55&gt;=2,파라미터!$B$11,0)+IF(B55&gt;=3,파라미터!$B$12,0))-파라미터!$B$15))*파라미터!$B$16</f>
        <v/>
      </c>
      <c r="E55" s="15">
        <f>B55*파라미터!$B$7</f>
        <v/>
      </c>
      <c r="F55" s="15">
        <f>MAX(0,파라미터!$B$19+파라미터!$B$20-C55)</f>
        <v/>
      </c>
      <c r="G55" s="15">
        <f>IF(MOD($A55-1,파라미터!$B$22)=0,파라미터!$B$21,0)</f>
        <v/>
      </c>
      <c r="H55" s="15">
        <f>D55-E55-F55-G55</f>
        <v/>
      </c>
      <c r="I55" s="15">
        <f>MAX(0,I54+H55)</f>
        <v/>
      </c>
      <c r="J55" s="14">
        <f>B55*파라미터!$B$25</f>
        <v/>
      </c>
    </row>
    <row r="56">
      <c r="A56" s="14" t="n">
        <v>50</v>
      </c>
      <c r="B56" s="14">
        <f>IF($B$4=2,IF(AND(MOD($A56,파라미터!$B$6)=0,$A56&gt;=파라미터!$B$6),$B$3,0),IF(OR($A56&lt;파라미터!$B$6,MOD($A56,파라미터!$B$6)&gt;=$B$3),0,INT(($B$3-MOD($A56,파라미터!$B$6)-1)/파라미터!$B$6)+1))</f>
        <v/>
      </c>
      <c r="C56" s="15">
        <f>MIN(파라미터!$B$15,파라미터!$B$5*(IF(B56&gt;=1,파라미터!$B$10,0)+IF(B56&gt;=2,파라미터!$B$11,0)+IF(B56&gt;=3,파라미터!$B$12,0)))</f>
        <v/>
      </c>
      <c r="D56" s="15">
        <f>((B56*파라미터!$B$5-파라미터!$B$5*(IF(B56&gt;=1,파라미터!$B$10,0)+IF(B56&gt;=2,파라미터!$B$11,0)+IF(B56&gt;=3,파라미터!$B$12,0)))+MAX(0,파라미터!$B$5*(IF(B56&gt;=1,파라미터!$B$10,0)+IF(B56&gt;=2,파라미터!$B$11,0)+IF(B56&gt;=3,파라미터!$B$12,0))-파라미터!$B$15))*파라미터!$B$16</f>
        <v/>
      </c>
      <c r="E56" s="15">
        <f>B56*파라미터!$B$7</f>
        <v/>
      </c>
      <c r="F56" s="15">
        <f>MAX(0,파라미터!$B$19+파라미터!$B$20-C56)</f>
        <v/>
      </c>
      <c r="G56" s="15">
        <f>IF(MOD($A56-1,파라미터!$B$22)=0,파라미터!$B$21,0)</f>
        <v/>
      </c>
      <c r="H56" s="15">
        <f>D56-E56-F56-G56</f>
        <v/>
      </c>
      <c r="I56" s="15">
        <f>MAX(0,I55+H56)</f>
        <v/>
      </c>
      <c r="J56" s="14">
        <f>B56*파라미터!$B$25</f>
        <v/>
      </c>
    </row>
    <row r="57">
      <c r="A57" s="14" t="n">
        <v>51</v>
      </c>
      <c r="B57" s="14">
        <f>IF($B$4=2,IF(AND(MOD($A57,파라미터!$B$6)=0,$A57&gt;=파라미터!$B$6),$B$3,0),IF(OR($A57&lt;파라미터!$B$6,MOD($A57,파라미터!$B$6)&gt;=$B$3),0,INT(($B$3-MOD($A57,파라미터!$B$6)-1)/파라미터!$B$6)+1))</f>
        <v/>
      </c>
      <c r="C57" s="15">
        <f>MIN(파라미터!$B$15,파라미터!$B$5*(IF(B57&gt;=1,파라미터!$B$10,0)+IF(B57&gt;=2,파라미터!$B$11,0)+IF(B57&gt;=3,파라미터!$B$12,0)))</f>
        <v/>
      </c>
      <c r="D57" s="15">
        <f>((B57*파라미터!$B$5-파라미터!$B$5*(IF(B57&gt;=1,파라미터!$B$10,0)+IF(B57&gt;=2,파라미터!$B$11,0)+IF(B57&gt;=3,파라미터!$B$12,0)))+MAX(0,파라미터!$B$5*(IF(B57&gt;=1,파라미터!$B$10,0)+IF(B57&gt;=2,파라미터!$B$11,0)+IF(B57&gt;=3,파라미터!$B$12,0))-파라미터!$B$15))*파라미터!$B$16</f>
        <v/>
      </c>
      <c r="E57" s="15">
        <f>B57*파라미터!$B$7</f>
        <v/>
      </c>
      <c r="F57" s="15">
        <f>MAX(0,파라미터!$B$19+파라미터!$B$20-C57)</f>
        <v/>
      </c>
      <c r="G57" s="15">
        <f>IF(MOD($A57-1,파라미터!$B$22)=0,파라미터!$B$21,0)</f>
        <v/>
      </c>
      <c r="H57" s="15">
        <f>D57-E57-F57-G57</f>
        <v/>
      </c>
      <c r="I57" s="15">
        <f>MAX(0,I56+H57)</f>
        <v/>
      </c>
      <c r="J57" s="14">
        <f>B57*파라미터!$B$25</f>
        <v/>
      </c>
    </row>
    <row r="58">
      <c r="A58" s="14" t="n">
        <v>52</v>
      </c>
      <c r="B58" s="14">
        <f>IF($B$4=2,IF(AND(MOD($A58,파라미터!$B$6)=0,$A58&gt;=파라미터!$B$6),$B$3,0),IF(OR($A58&lt;파라미터!$B$6,MOD($A58,파라미터!$B$6)&gt;=$B$3),0,INT(($B$3-MOD($A58,파라미터!$B$6)-1)/파라미터!$B$6)+1))</f>
        <v/>
      </c>
      <c r="C58" s="15">
        <f>MIN(파라미터!$B$15,파라미터!$B$5*(IF(B58&gt;=1,파라미터!$B$10,0)+IF(B58&gt;=2,파라미터!$B$11,0)+IF(B58&gt;=3,파라미터!$B$12,0)))</f>
        <v/>
      </c>
      <c r="D58" s="15">
        <f>((B58*파라미터!$B$5-파라미터!$B$5*(IF(B58&gt;=1,파라미터!$B$10,0)+IF(B58&gt;=2,파라미터!$B$11,0)+IF(B58&gt;=3,파라미터!$B$12,0)))+MAX(0,파라미터!$B$5*(IF(B58&gt;=1,파라미터!$B$10,0)+IF(B58&gt;=2,파라미터!$B$11,0)+IF(B58&gt;=3,파라미터!$B$12,0))-파라미터!$B$15))*파라미터!$B$16</f>
        <v/>
      </c>
      <c r="E58" s="15">
        <f>B58*파라미터!$B$7</f>
        <v/>
      </c>
      <c r="F58" s="15">
        <f>MAX(0,파라미터!$B$19+파라미터!$B$20-C58)</f>
        <v/>
      </c>
      <c r="G58" s="15">
        <f>IF(MOD($A58-1,파라미터!$B$22)=0,파라미터!$B$21,0)</f>
        <v/>
      </c>
      <c r="H58" s="15">
        <f>D58-E58-F58-G58</f>
        <v/>
      </c>
      <c r="I58" s="15">
        <f>MAX(0,I57+H58)</f>
        <v/>
      </c>
      <c r="J58" s="14">
        <f>B58*파라미터!$B$25</f>
        <v/>
      </c>
    </row>
    <row r="59">
      <c r="A59" s="14" t="n">
        <v>53</v>
      </c>
      <c r="B59" s="14">
        <f>IF($B$4=2,IF(AND(MOD($A59,파라미터!$B$6)=0,$A59&gt;=파라미터!$B$6),$B$3,0),IF(OR($A59&lt;파라미터!$B$6,MOD($A59,파라미터!$B$6)&gt;=$B$3),0,INT(($B$3-MOD($A59,파라미터!$B$6)-1)/파라미터!$B$6)+1))</f>
        <v/>
      </c>
      <c r="C59" s="15">
        <f>MIN(파라미터!$B$15,파라미터!$B$5*(IF(B59&gt;=1,파라미터!$B$10,0)+IF(B59&gt;=2,파라미터!$B$11,0)+IF(B59&gt;=3,파라미터!$B$12,0)))</f>
        <v/>
      </c>
      <c r="D59" s="15">
        <f>((B59*파라미터!$B$5-파라미터!$B$5*(IF(B59&gt;=1,파라미터!$B$10,0)+IF(B59&gt;=2,파라미터!$B$11,0)+IF(B59&gt;=3,파라미터!$B$12,0)))+MAX(0,파라미터!$B$5*(IF(B59&gt;=1,파라미터!$B$10,0)+IF(B59&gt;=2,파라미터!$B$11,0)+IF(B59&gt;=3,파라미터!$B$12,0))-파라미터!$B$15))*파라미터!$B$16</f>
        <v/>
      </c>
      <c r="E59" s="15">
        <f>B59*파라미터!$B$7</f>
        <v/>
      </c>
      <c r="F59" s="15">
        <f>MAX(0,파라미터!$B$19+파라미터!$B$20-C59)</f>
        <v/>
      </c>
      <c r="G59" s="15">
        <f>IF(MOD($A59-1,파라미터!$B$22)=0,파라미터!$B$21,0)</f>
        <v/>
      </c>
      <c r="H59" s="15">
        <f>D59-E59-F59-G59</f>
        <v/>
      </c>
      <c r="I59" s="15">
        <f>MAX(0,I58+H59)</f>
        <v/>
      </c>
      <c r="J59" s="14">
        <f>B59*파라미터!$B$25</f>
        <v/>
      </c>
    </row>
    <row r="60">
      <c r="A60" s="14" t="n">
        <v>54</v>
      </c>
      <c r="B60" s="14">
        <f>IF($B$4=2,IF(AND(MOD($A60,파라미터!$B$6)=0,$A60&gt;=파라미터!$B$6),$B$3,0),IF(OR($A60&lt;파라미터!$B$6,MOD($A60,파라미터!$B$6)&gt;=$B$3),0,INT(($B$3-MOD($A60,파라미터!$B$6)-1)/파라미터!$B$6)+1))</f>
        <v/>
      </c>
      <c r="C60" s="15">
        <f>MIN(파라미터!$B$15,파라미터!$B$5*(IF(B60&gt;=1,파라미터!$B$10,0)+IF(B60&gt;=2,파라미터!$B$11,0)+IF(B60&gt;=3,파라미터!$B$12,0)))</f>
        <v/>
      </c>
      <c r="D60" s="15">
        <f>((B60*파라미터!$B$5-파라미터!$B$5*(IF(B60&gt;=1,파라미터!$B$10,0)+IF(B60&gt;=2,파라미터!$B$11,0)+IF(B60&gt;=3,파라미터!$B$12,0)))+MAX(0,파라미터!$B$5*(IF(B60&gt;=1,파라미터!$B$10,0)+IF(B60&gt;=2,파라미터!$B$11,0)+IF(B60&gt;=3,파라미터!$B$12,0))-파라미터!$B$15))*파라미터!$B$16</f>
        <v/>
      </c>
      <c r="E60" s="15">
        <f>B60*파라미터!$B$7</f>
        <v/>
      </c>
      <c r="F60" s="15">
        <f>MAX(0,파라미터!$B$19+파라미터!$B$20-C60)</f>
        <v/>
      </c>
      <c r="G60" s="15">
        <f>IF(MOD($A60-1,파라미터!$B$22)=0,파라미터!$B$21,0)</f>
        <v/>
      </c>
      <c r="H60" s="15">
        <f>D60-E60-F60-G60</f>
        <v/>
      </c>
      <c r="I60" s="15">
        <f>MAX(0,I59+H60)</f>
        <v/>
      </c>
      <c r="J60" s="14">
        <f>B60*파라미터!$B$25</f>
        <v/>
      </c>
    </row>
    <row r="61">
      <c r="A61" s="14" t="n">
        <v>55</v>
      </c>
      <c r="B61" s="14">
        <f>IF($B$4=2,IF(AND(MOD($A61,파라미터!$B$6)=0,$A61&gt;=파라미터!$B$6),$B$3,0),IF(OR($A61&lt;파라미터!$B$6,MOD($A61,파라미터!$B$6)&gt;=$B$3),0,INT(($B$3-MOD($A61,파라미터!$B$6)-1)/파라미터!$B$6)+1))</f>
        <v/>
      </c>
      <c r="C61" s="15">
        <f>MIN(파라미터!$B$15,파라미터!$B$5*(IF(B61&gt;=1,파라미터!$B$10,0)+IF(B61&gt;=2,파라미터!$B$11,0)+IF(B61&gt;=3,파라미터!$B$12,0)))</f>
        <v/>
      </c>
      <c r="D61" s="15">
        <f>((B61*파라미터!$B$5-파라미터!$B$5*(IF(B61&gt;=1,파라미터!$B$10,0)+IF(B61&gt;=2,파라미터!$B$11,0)+IF(B61&gt;=3,파라미터!$B$12,0)))+MAX(0,파라미터!$B$5*(IF(B61&gt;=1,파라미터!$B$10,0)+IF(B61&gt;=2,파라미터!$B$11,0)+IF(B61&gt;=3,파라미터!$B$12,0))-파라미터!$B$15))*파라미터!$B$16</f>
        <v/>
      </c>
      <c r="E61" s="15">
        <f>B61*파라미터!$B$7</f>
        <v/>
      </c>
      <c r="F61" s="15">
        <f>MAX(0,파라미터!$B$19+파라미터!$B$20-C61)</f>
        <v/>
      </c>
      <c r="G61" s="15">
        <f>IF(MOD($A61-1,파라미터!$B$22)=0,파라미터!$B$21,0)</f>
        <v/>
      </c>
      <c r="H61" s="15">
        <f>D61-E61-F61-G61</f>
        <v/>
      </c>
      <c r="I61" s="15">
        <f>MAX(0,I60+H61)</f>
        <v/>
      </c>
      <c r="J61" s="14">
        <f>B61*파라미터!$B$25</f>
        <v/>
      </c>
    </row>
    <row r="62">
      <c r="A62" s="14" t="n">
        <v>56</v>
      </c>
      <c r="B62" s="14">
        <f>IF($B$4=2,IF(AND(MOD($A62,파라미터!$B$6)=0,$A62&gt;=파라미터!$B$6),$B$3,0),IF(OR($A62&lt;파라미터!$B$6,MOD($A62,파라미터!$B$6)&gt;=$B$3),0,INT(($B$3-MOD($A62,파라미터!$B$6)-1)/파라미터!$B$6)+1))</f>
        <v/>
      </c>
      <c r="C62" s="15">
        <f>MIN(파라미터!$B$15,파라미터!$B$5*(IF(B62&gt;=1,파라미터!$B$10,0)+IF(B62&gt;=2,파라미터!$B$11,0)+IF(B62&gt;=3,파라미터!$B$12,0)))</f>
        <v/>
      </c>
      <c r="D62" s="15">
        <f>((B62*파라미터!$B$5-파라미터!$B$5*(IF(B62&gt;=1,파라미터!$B$10,0)+IF(B62&gt;=2,파라미터!$B$11,0)+IF(B62&gt;=3,파라미터!$B$12,0)))+MAX(0,파라미터!$B$5*(IF(B62&gt;=1,파라미터!$B$10,0)+IF(B62&gt;=2,파라미터!$B$11,0)+IF(B62&gt;=3,파라미터!$B$12,0))-파라미터!$B$15))*파라미터!$B$16</f>
        <v/>
      </c>
      <c r="E62" s="15">
        <f>B62*파라미터!$B$7</f>
        <v/>
      </c>
      <c r="F62" s="15">
        <f>MAX(0,파라미터!$B$19+파라미터!$B$20-C62)</f>
        <v/>
      </c>
      <c r="G62" s="15">
        <f>IF(MOD($A62-1,파라미터!$B$22)=0,파라미터!$B$21,0)</f>
        <v/>
      </c>
      <c r="H62" s="15">
        <f>D62-E62-F62-G62</f>
        <v/>
      </c>
      <c r="I62" s="15">
        <f>MAX(0,I61+H62)</f>
        <v/>
      </c>
      <c r="J62" s="14">
        <f>B62*파라미터!$B$25</f>
        <v/>
      </c>
    </row>
    <row r="63">
      <c r="A63" s="14" t="n">
        <v>57</v>
      </c>
      <c r="B63" s="14">
        <f>IF($B$4=2,IF(AND(MOD($A63,파라미터!$B$6)=0,$A63&gt;=파라미터!$B$6),$B$3,0),IF(OR($A63&lt;파라미터!$B$6,MOD($A63,파라미터!$B$6)&gt;=$B$3),0,INT(($B$3-MOD($A63,파라미터!$B$6)-1)/파라미터!$B$6)+1))</f>
        <v/>
      </c>
      <c r="C63" s="15">
        <f>MIN(파라미터!$B$15,파라미터!$B$5*(IF(B63&gt;=1,파라미터!$B$10,0)+IF(B63&gt;=2,파라미터!$B$11,0)+IF(B63&gt;=3,파라미터!$B$12,0)))</f>
        <v/>
      </c>
      <c r="D63" s="15">
        <f>((B63*파라미터!$B$5-파라미터!$B$5*(IF(B63&gt;=1,파라미터!$B$10,0)+IF(B63&gt;=2,파라미터!$B$11,0)+IF(B63&gt;=3,파라미터!$B$12,0)))+MAX(0,파라미터!$B$5*(IF(B63&gt;=1,파라미터!$B$10,0)+IF(B63&gt;=2,파라미터!$B$11,0)+IF(B63&gt;=3,파라미터!$B$12,0))-파라미터!$B$15))*파라미터!$B$16</f>
        <v/>
      </c>
      <c r="E63" s="15">
        <f>B63*파라미터!$B$7</f>
        <v/>
      </c>
      <c r="F63" s="15">
        <f>MAX(0,파라미터!$B$19+파라미터!$B$20-C63)</f>
        <v/>
      </c>
      <c r="G63" s="15">
        <f>IF(MOD($A63-1,파라미터!$B$22)=0,파라미터!$B$21,0)</f>
        <v/>
      </c>
      <c r="H63" s="15">
        <f>D63-E63-F63-G63</f>
        <v/>
      </c>
      <c r="I63" s="15">
        <f>MAX(0,I62+H63)</f>
        <v/>
      </c>
      <c r="J63" s="14">
        <f>B63*파라미터!$B$25</f>
        <v/>
      </c>
    </row>
    <row r="64">
      <c r="A64" s="14" t="n">
        <v>58</v>
      </c>
      <c r="B64" s="14">
        <f>IF($B$4=2,IF(AND(MOD($A64,파라미터!$B$6)=0,$A64&gt;=파라미터!$B$6),$B$3,0),IF(OR($A64&lt;파라미터!$B$6,MOD($A64,파라미터!$B$6)&gt;=$B$3),0,INT(($B$3-MOD($A64,파라미터!$B$6)-1)/파라미터!$B$6)+1))</f>
        <v/>
      </c>
      <c r="C64" s="15">
        <f>MIN(파라미터!$B$15,파라미터!$B$5*(IF(B64&gt;=1,파라미터!$B$10,0)+IF(B64&gt;=2,파라미터!$B$11,0)+IF(B64&gt;=3,파라미터!$B$12,0)))</f>
        <v/>
      </c>
      <c r="D64" s="15">
        <f>((B64*파라미터!$B$5-파라미터!$B$5*(IF(B64&gt;=1,파라미터!$B$10,0)+IF(B64&gt;=2,파라미터!$B$11,0)+IF(B64&gt;=3,파라미터!$B$12,0)))+MAX(0,파라미터!$B$5*(IF(B64&gt;=1,파라미터!$B$10,0)+IF(B64&gt;=2,파라미터!$B$11,0)+IF(B64&gt;=3,파라미터!$B$12,0))-파라미터!$B$15))*파라미터!$B$16</f>
        <v/>
      </c>
      <c r="E64" s="15">
        <f>B64*파라미터!$B$7</f>
        <v/>
      </c>
      <c r="F64" s="15">
        <f>MAX(0,파라미터!$B$19+파라미터!$B$20-C64)</f>
        <v/>
      </c>
      <c r="G64" s="15">
        <f>IF(MOD($A64-1,파라미터!$B$22)=0,파라미터!$B$21,0)</f>
        <v/>
      </c>
      <c r="H64" s="15">
        <f>D64-E64-F64-G64</f>
        <v/>
      </c>
      <c r="I64" s="15">
        <f>MAX(0,I63+H64)</f>
        <v/>
      </c>
      <c r="J64" s="14">
        <f>B64*파라미터!$B$25</f>
        <v/>
      </c>
    </row>
    <row r="65">
      <c r="A65" s="14" t="n">
        <v>59</v>
      </c>
      <c r="B65" s="14">
        <f>IF($B$4=2,IF(AND(MOD($A65,파라미터!$B$6)=0,$A65&gt;=파라미터!$B$6),$B$3,0),IF(OR($A65&lt;파라미터!$B$6,MOD($A65,파라미터!$B$6)&gt;=$B$3),0,INT(($B$3-MOD($A65,파라미터!$B$6)-1)/파라미터!$B$6)+1))</f>
        <v/>
      </c>
      <c r="C65" s="15">
        <f>MIN(파라미터!$B$15,파라미터!$B$5*(IF(B65&gt;=1,파라미터!$B$10,0)+IF(B65&gt;=2,파라미터!$B$11,0)+IF(B65&gt;=3,파라미터!$B$12,0)))</f>
        <v/>
      </c>
      <c r="D65" s="15">
        <f>((B65*파라미터!$B$5-파라미터!$B$5*(IF(B65&gt;=1,파라미터!$B$10,0)+IF(B65&gt;=2,파라미터!$B$11,0)+IF(B65&gt;=3,파라미터!$B$12,0)))+MAX(0,파라미터!$B$5*(IF(B65&gt;=1,파라미터!$B$10,0)+IF(B65&gt;=2,파라미터!$B$11,0)+IF(B65&gt;=3,파라미터!$B$12,0))-파라미터!$B$15))*파라미터!$B$16</f>
        <v/>
      </c>
      <c r="E65" s="15">
        <f>B65*파라미터!$B$7</f>
        <v/>
      </c>
      <c r="F65" s="15">
        <f>MAX(0,파라미터!$B$19+파라미터!$B$20-C65)</f>
        <v/>
      </c>
      <c r="G65" s="15">
        <f>IF(MOD($A65-1,파라미터!$B$22)=0,파라미터!$B$21,0)</f>
        <v/>
      </c>
      <c r="H65" s="15">
        <f>D65-E65-F65-G65</f>
        <v/>
      </c>
      <c r="I65" s="15">
        <f>MAX(0,I64+H65)</f>
        <v/>
      </c>
      <c r="J65" s="14">
        <f>B65*파라미터!$B$25</f>
        <v/>
      </c>
    </row>
    <row r="66">
      <c r="A66" s="14" t="n">
        <v>60</v>
      </c>
      <c r="B66" s="14">
        <f>IF($B$4=2,IF(AND(MOD($A66,파라미터!$B$6)=0,$A66&gt;=파라미터!$B$6),$B$3,0),IF(OR($A66&lt;파라미터!$B$6,MOD($A66,파라미터!$B$6)&gt;=$B$3),0,INT(($B$3-MOD($A66,파라미터!$B$6)-1)/파라미터!$B$6)+1))</f>
        <v/>
      </c>
      <c r="C66" s="15">
        <f>MIN(파라미터!$B$15,파라미터!$B$5*(IF(B66&gt;=1,파라미터!$B$10,0)+IF(B66&gt;=2,파라미터!$B$11,0)+IF(B66&gt;=3,파라미터!$B$12,0)))</f>
        <v/>
      </c>
      <c r="D66" s="15">
        <f>((B66*파라미터!$B$5-파라미터!$B$5*(IF(B66&gt;=1,파라미터!$B$10,0)+IF(B66&gt;=2,파라미터!$B$11,0)+IF(B66&gt;=3,파라미터!$B$12,0)))+MAX(0,파라미터!$B$5*(IF(B66&gt;=1,파라미터!$B$10,0)+IF(B66&gt;=2,파라미터!$B$11,0)+IF(B66&gt;=3,파라미터!$B$12,0))-파라미터!$B$15))*파라미터!$B$16</f>
        <v/>
      </c>
      <c r="E66" s="15">
        <f>B66*파라미터!$B$7</f>
        <v/>
      </c>
      <c r="F66" s="15">
        <f>MAX(0,파라미터!$B$19+파라미터!$B$20-C66)</f>
        <v/>
      </c>
      <c r="G66" s="15">
        <f>IF(MOD($A66-1,파라미터!$B$22)=0,파라미터!$B$21,0)</f>
        <v/>
      </c>
      <c r="H66" s="15">
        <f>D66-E66-F66-G66</f>
        <v/>
      </c>
      <c r="I66" s="15">
        <f>MAX(0,I65+H66)</f>
        <v/>
      </c>
      <c r="J66" s="14">
        <f>B66*파라미터!$B$25</f>
        <v/>
      </c>
    </row>
    <row r="67">
      <c r="A67" s="14" t="n">
        <v>61</v>
      </c>
      <c r="B67" s="14">
        <f>IF($B$4=2,IF(AND(MOD($A67,파라미터!$B$6)=0,$A67&gt;=파라미터!$B$6),$B$3,0),IF(OR($A67&lt;파라미터!$B$6,MOD($A67,파라미터!$B$6)&gt;=$B$3),0,INT(($B$3-MOD($A67,파라미터!$B$6)-1)/파라미터!$B$6)+1))</f>
        <v/>
      </c>
      <c r="C67" s="15">
        <f>MIN(파라미터!$B$15,파라미터!$B$5*(IF(B67&gt;=1,파라미터!$B$10,0)+IF(B67&gt;=2,파라미터!$B$11,0)+IF(B67&gt;=3,파라미터!$B$12,0)))</f>
        <v/>
      </c>
      <c r="D67" s="15">
        <f>((B67*파라미터!$B$5-파라미터!$B$5*(IF(B67&gt;=1,파라미터!$B$10,0)+IF(B67&gt;=2,파라미터!$B$11,0)+IF(B67&gt;=3,파라미터!$B$12,0)))+MAX(0,파라미터!$B$5*(IF(B67&gt;=1,파라미터!$B$10,0)+IF(B67&gt;=2,파라미터!$B$11,0)+IF(B67&gt;=3,파라미터!$B$12,0))-파라미터!$B$15))*파라미터!$B$16</f>
        <v/>
      </c>
      <c r="E67" s="15">
        <f>B67*파라미터!$B$7</f>
        <v/>
      </c>
      <c r="F67" s="15">
        <f>MAX(0,파라미터!$B$19+파라미터!$B$20-C67)</f>
        <v/>
      </c>
      <c r="G67" s="15">
        <f>IF(MOD($A67-1,파라미터!$B$22)=0,파라미터!$B$21,0)</f>
        <v/>
      </c>
      <c r="H67" s="15">
        <f>D67-E67-F67-G67</f>
        <v/>
      </c>
      <c r="I67" s="15">
        <f>MAX(0,I66+H67)</f>
        <v/>
      </c>
      <c r="J67" s="14">
        <f>B67*파라미터!$B$25</f>
        <v/>
      </c>
    </row>
    <row r="68">
      <c r="A68" s="14" t="n">
        <v>62</v>
      </c>
      <c r="B68" s="14">
        <f>IF($B$4=2,IF(AND(MOD($A68,파라미터!$B$6)=0,$A68&gt;=파라미터!$B$6),$B$3,0),IF(OR($A68&lt;파라미터!$B$6,MOD($A68,파라미터!$B$6)&gt;=$B$3),0,INT(($B$3-MOD($A68,파라미터!$B$6)-1)/파라미터!$B$6)+1))</f>
        <v/>
      </c>
      <c r="C68" s="15">
        <f>MIN(파라미터!$B$15,파라미터!$B$5*(IF(B68&gt;=1,파라미터!$B$10,0)+IF(B68&gt;=2,파라미터!$B$11,0)+IF(B68&gt;=3,파라미터!$B$12,0)))</f>
        <v/>
      </c>
      <c r="D68" s="15">
        <f>((B68*파라미터!$B$5-파라미터!$B$5*(IF(B68&gt;=1,파라미터!$B$10,0)+IF(B68&gt;=2,파라미터!$B$11,0)+IF(B68&gt;=3,파라미터!$B$12,0)))+MAX(0,파라미터!$B$5*(IF(B68&gt;=1,파라미터!$B$10,0)+IF(B68&gt;=2,파라미터!$B$11,0)+IF(B68&gt;=3,파라미터!$B$12,0))-파라미터!$B$15))*파라미터!$B$16</f>
        <v/>
      </c>
      <c r="E68" s="15">
        <f>B68*파라미터!$B$7</f>
        <v/>
      </c>
      <c r="F68" s="15">
        <f>MAX(0,파라미터!$B$19+파라미터!$B$20-C68)</f>
        <v/>
      </c>
      <c r="G68" s="15">
        <f>IF(MOD($A68-1,파라미터!$B$22)=0,파라미터!$B$21,0)</f>
        <v/>
      </c>
      <c r="H68" s="15">
        <f>D68-E68-F68-G68</f>
        <v/>
      </c>
      <c r="I68" s="15">
        <f>MAX(0,I67+H68)</f>
        <v/>
      </c>
      <c r="J68" s="14">
        <f>B68*파라미터!$B$25</f>
        <v/>
      </c>
    </row>
    <row r="69">
      <c r="A69" s="14" t="n">
        <v>63</v>
      </c>
      <c r="B69" s="14">
        <f>IF($B$4=2,IF(AND(MOD($A69,파라미터!$B$6)=0,$A69&gt;=파라미터!$B$6),$B$3,0),IF(OR($A69&lt;파라미터!$B$6,MOD($A69,파라미터!$B$6)&gt;=$B$3),0,INT(($B$3-MOD($A69,파라미터!$B$6)-1)/파라미터!$B$6)+1))</f>
        <v/>
      </c>
      <c r="C69" s="15">
        <f>MIN(파라미터!$B$15,파라미터!$B$5*(IF(B69&gt;=1,파라미터!$B$10,0)+IF(B69&gt;=2,파라미터!$B$11,0)+IF(B69&gt;=3,파라미터!$B$12,0)))</f>
        <v/>
      </c>
      <c r="D69" s="15">
        <f>((B69*파라미터!$B$5-파라미터!$B$5*(IF(B69&gt;=1,파라미터!$B$10,0)+IF(B69&gt;=2,파라미터!$B$11,0)+IF(B69&gt;=3,파라미터!$B$12,0)))+MAX(0,파라미터!$B$5*(IF(B69&gt;=1,파라미터!$B$10,0)+IF(B69&gt;=2,파라미터!$B$11,0)+IF(B69&gt;=3,파라미터!$B$12,0))-파라미터!$B$15))*파라미터!$B$16</f>
        <v/>
      </c>
      <c r="E69" s="15">
        <f>B69*파라미터!$B$7</f>
        <v/>
      </c>
      <c r="F69" s="15">
        <f>MAX(0,파라미터!$B$19+파라미터!$B$20-C69)</f>
        <v/>
      </c>
      <c r="G69" s="15">
        <f>IF(MOD($A69-1,파라미터!$B$22)=0,파라미터!$B$21,0)</f>
        <v/>
      </c>
      <c r="H69" s="15">
        <f>D69-E69-F69-G69</f>
        <v/>
      </c>
      <c r="I69" s="15">
        <f>MAX(0,I68+H69)</f>
        <v/>
      </c>
      <c r="J69" s="14">
        <f>B69*파라미터!$B$25</f>
        <v/>
      </c>
    </row>
    <row r="70">
      <c r="A70" s="14" t="n">
        <v>64</v>
      </c>
      <c r="B70" s="14">
        <f>IF($B$4=2,IF(AND(MOD($A70,파라미터!$B$6)=0,$A70&gt;=파라미터!$B$6),$B$3,0),IF(OR($A70&lt;파라미터!$B$6,MOD($A70,파라미터!$B$6)&gt;=$B$3),0,INT(($B$3-MOD($A70,파라미터!$B$6)-1)/파라미터!$B$6)+1))</f>
        <v/>
      </c>
      <c r="C70" s="15">
        <f>MIN(파라미터!$B$15,파라미터!$B$5*(IF(B70&gt;=1,파라미터!$B$10,0)+IF(B70&gt;=2,파라미터!$B$11,0)+IF(B70&gt;=3,파라미터!$B$12,0)))</f>
        <v/>
      </c>
      <c r="D70" s="15">
        <f>((B70*파라미터!$B$5-파라미터!$B$5*(IF(B70&gt;=1,파라미터!$B$10,0)+IF(B70&gt;=2,파라미터!$B$11,0)+IF(B70&gt;=3,파라미터!$B$12,0)))+MAX(0,파라미터!$B$5*(IF(B70&gt;=1,파라미터!$B$10,0)+IF(B70&gt;=2,파라미터!$B$11,0)+IF(B70&gt;=3,파라미터!$B$12,0))-파라미터!$B$15))*파라미터!$B$16</f>
        <v/>
      </c>
      <c r="E70" s="15">
        <f>B70*파라미터!$B$7</f>
        <v/>
      </c>
      <c r="F70" s="15">
        <f>MAX(0,파라미터!$B$19+파라미터!$B$20-C70)</f>
        <v/>
      </c>
      <c r="G70" s="15">
        <f>IF(MOD($A70-1,파라미터!$B$22)=0,파라미터!$B$21,0)</f>
        <v/>
      </c>
      <c r="H70" s="15">
        <f>D70-E70-F70-G70</f>
        <v/>
      </c>
      <c r="I70" s="15">
        <f>MAX(0,I69+H70)</f>
        <v/>
      </c>
      <c r="J70" s="14">
        <f>B70*파라미터!$B$25</f>
        <v/>
      </c>
    </row>
    <row r="71">
      <c r="A71" s="14" t="n">
        <v>65</v>
      </c>
      <c r="B71" s="14">
        <f>IF($B$4=2,IF(AND(MOD($A71,파라미터!$B$6)=0,$A71&gt;=파라미터!$B$6),$B$3,0),IF(OR($A71&lt;파라미터!$B$6,MOD($A71,파라미터!$B$6)&gt;=$B$3),0,INT(($B$3-MOD($A71,파라미터!$B$6)-1)/파라미터!$B$6)+1))</f>
        <v/>
      </c>
      <c r="C71" s="15">
        <f>MIN(파라미터!$B$15,파라미터!$B$5*(IF(B71&gt;=1,파라미터!$B$10,0)+IF(B71&gt;=2,파라미터!$B$11,0)+IF(B71&gt;=3,파라미터!$B$12,0)))</f>
        <v/>
      </c>
      <c r="D71" s="15">
        <f>((B71*파라미터!$B$5-파라미터!$B$5*(IF(B71&gt;=1,파라미터!$B$10,0)+IF(B71&gt;=2,파라미터!$B$11,0)+IF(B71&gt;=3,파라미터!$B$12,0)))+MAX(0,파라미터!$B$5*(IF(B71&gt;=1,파라미터!$B$10,0)+IF(B71&gt;=2,파라미터!$B$11,0)+IF(B71&gt;=3,파라미터!$B$12,0))-파라미터!$B$15))*파라미터!$B$16</f>
        <v/>
      </c>
      <c r="E71" s="15">
        <f>B71*파라미터!$B$7</f>
        <v/>
      </c>
      <c r="F71" s="15">
        <f>MAX(0,파라미터!$B$19+파라미터!$B$20-C71)</f>
        <v/>
      </c>
      <c r="G71" s="15">
        <f>IF(MOD($A71-1,파라미터!$B$22)=0,파라미터!$B$21,0)</f>
        <v/>
      </c>
      <c r="H71" s="15">
        <f>D71-E71-F71-G71</f>
        <v/>
      </c>
      <c r="I71" s="15">
        <f>MAX(0,I70+H71)</f>
        <v/>
      </c>
      <c r="J71" s="14">
        <f>B71*파라미터!$B$25</f>
        <v/>
      </c>
    </row>
    <row r="72">
      <c r="A72" s="14" t="n">
        <v>66</v>
      </c>
      <c r="B72" s="14">
        <f>IF($B$4=2,IF(AND(MOD($A72,파라미터!$B$6)=0,$A72&gt;=파라미터!$B$6),$B$3,0),IF(OR($A72&lt;파라미터!$B$6,MOD($A72,파라미터!$B$6)&gt;=$B$3),0,INT(($B$3-MOD($A72,파라미터!$B$6)-1)/파라미터!$B$6)+1))</f>
        <v/>
      </c>
      <c r="C72" s="15">
        <f>MIN(파라미터!$B$15,파라미터!$B$5*(IF(B72&gt;=1,파라미터!$B$10,0)+IF(B72&gt;=2,파라미터!$B$11,0)+IF(B72&gt;=3,파라미터!$B$12,0)))</f>
        <v/>
      </c>
      <c r="D72" s="15">
        <f>((B72*파라미터!$B$5-파라미터!$B$5*(IF(B72&gt;=1,파라미터!$B$10,0)+IF(B72&gt;=2,파라미터!$B$11,0)+IF(B72&gt;=3,파라미터!$B$12,0)))+MAX(0,파라미터!$B$5*(IF(B72&gt;=1,파라미터!$B$10,0)+IF(B72&gt;=2,파라미터!$B$11,0)+IF(B72&gt;=3,파라미터!$B$12,0))-파라미터!$B$15))*파라미터!$B$16</f>
        <v/>
      </c>
      <c r="E72" s="15">
        <f>B72*파라미터!$B$7</f>
        <v/>
      </c>
      <c r="F72" s="15">
        <f>MAX(0,파라미터!$B$19+파라미터!$B$20-C72)</f>
        <v/>
      </c>
      <c r="G72" s="15">
        <f>IF(MOD($A72-1,파라미터!$B$22)=0,파라미터!$B$21,0)</f>
        <v/>
      </c>
      <c r="H72" s="15">
        <f>D72-E72-F72-G72</f>
        <v/>
      </c>
      <c r="I72" s="15">
        <f>MAX(0,I71+H72)</f>
        <v/>
      </c>
      <c r="J72" s="14">
        <f>B72*파라미터!$B$25</f>
        <v/>
      </c>
    </row>
    <row r="73">
      <c r="A73" s="14" t="n">
        <v>67</v>
      </c>
      <c r="B73" s="14">
        <f>IF($B$4=2,IF(AND(MOD($A73,파라미터!$B$6)=0,$A73&gt;=파라미터!$B$6),$B$3,0),IF(OR($A73&lt;파라미터!$B$6,MOD($A73,파라미터!$B$6)&gt;=$B$3),0,INT(($B$3-MOD($A73,파라미터!$B$6)-1)/파라미터!$B$6)+1))</f>
        <v/>
      </c>
      <c r="C73" s="15">
        <f>MIN(파라미터!$B$15,파라미터!$B$5*(IF(B73&gt;=1,파라미터!$B$10,0)+IF(B73&gt;=2,파라미터!$B$11,0)+IF(B73&gt;=3,파라미터!$B$12,0)))</f>
        <v/>
      </c>
      <c r="D73" s="15">
        <f>((B73*파라미터!$B$5-파라미터!$B$5*(IF(B73&gt;=1,파라미터!$B$10,0)+IF(B73&gt;=2,파라미터!$B$11,0)+IF(B73&gt;=3,파라미터!$B$12,0)))+MAX(0,파라미터!$B$5*(IF(B73&gt;=1,파라미터!$B$10,0)+IF(B73&gt;=2,파라미터!$B$11,0)+IF(B73&gt;=3,파라미터!$B$12,0))-파라미터!$B$15))*파라미터!$B$16</f>
        <v/>
      </c>
      <c r="E73" s="15">
        <f>B73*파라미터!$B$7</f>
        <v/>
      </c>
      <c r="F73" s="15">
        <f>MAX(0,파라미터!$B$19+파라미터!$B$20-C73)</f>
        <v/>
      </c>
      <c r="G73" s="15">
        <f>IF(MOD($A73-1,파라미터!$B$22)=0,파라미터!$B$21,0)</f>
        <v/>
      </c>
      <c r="H73" s="15">
        <f>D73-E73-F73-G73</f>
        <v/>
      </c>
      <c r="I73" s="15">
        <f>MAX(0,I72+H73)</f>
        <v/>
      </c>
      <c r="J73" s="14">
        <f>B73*파라미터!$B$25</f>
        <v/>
      </c>
    </row>
    <row r="74">
      <c r="A74" s="14" t="n">
        <v>68</v>
      </c>
      <c r="B74" s="14">
        <f>IF($B$4=2,IF(AND(MOD($A74,파라미터!$B$6)=0,$A74&gt;=파라미터!$B$6),$B$3,0),IF(OR($A74&lt;파라미터!$B$6,MOD($A74,파라미터!$B$6)&gt;=$B$3),0,INT(($B$3-MOD($A74,파라미터!$B$6)-1)/파라미터!$B$6)+1))</f>
        <v/>
      </c>
      <c r="C74" s="15">
        <f>MIN(파라미터!$B$15,파라미터!$B$5*(IF(B74&gt;=1,파라미터!$B$10,0)+IF(B74&gt;=2,파라미터!$B$11,0)+IF(B74&gt;=3,파라미터!$B$12,0)))</f>
        <v/>
      </c>
      <c r="D74" s="15">
        <f>((B74*파라미터!$B$5-파라미터!$B$5*(IF(B74&gt;=1,파라미터!$B$10,0)+IF(B74&gt;=2,파라미터!$B$11,0)+IF(B74&gt;=3,파라미터!$B$12,0)))+MAX(0,파라미터!$B$5*(IF(B74&gt;=1,파라미터!$B$10,0)+IF(B74&gt;=2,파라미터!$B$11,0)+IF(B74&gt;=3,파라미터!$B$12,0))-파라미터!$B$15))*파라미터!$B$16</f>
        <v/>
      </c>
      <c r="E74" s="15">
        <f>B74*파라미터!$B$7</f>
        <v/>
      </c>
      <c r="F74" s="15">
        <f>MAX(0,파라미터!$B$19+파라미터!$B$20-C74)</f>
        <v/>
      </c>
      <c r="G74" s="15">
        <f>IF(MOD($A74-1,파라미터!$B$22)=0,파라미터!$B$21,0)</f>
        <v/>
      </c>
      <c r="H74" s="15">
        <f>D74-E74-F74-G74</f>
        <v/>
      </c>
      <c r="I74" s="15">
        <f>MAX(0,I73+H74)</f>
        <v/>
      </c>
      <c r="J74" s="14">
        <f>B74*파라미터!$B$25</f>
        <v/>
      </c>
    </row>
    <row r="75">
      <c r="A75" s="14" t="n">
        <v>69</v>
      </c>
      <c r="B75" s="14">
        <f>IF($B$4=2,IF(AND(MOD($A75,파라미터!$B$6)=0,$A75&gt;=파라미터!$B$6),$B$3,0),IF(OR($A75&lt;파라미터!$B$6,MOD($A75,파라미터!$B$6)&gt;=$B$3),0,INT(($B$3-MOD($A75,파라미터!$B$6)-1)/파라미터!$B$6)+1))</f>
        <v/>
      </c>
      <c r="C75" s="15">
        <f>MIN(파라미터!$B$15,파라미터!$B$5*(IF(B75&gt;=1,파라미터!$B$10,0)+IF(B75&gt;=2,파라미터!$B$11,0)+IF(B75&gt;=3,파라미터!$B$12,0)))</f>
        <v/>
      </c>
      <c r="D75" s="15">
        <f>((B75*파라미터!$B$5-파라미터!$B$5*(IF(B75&gt;=1,파라미터!$B$10,0)+IF(B75&gt;=2,파라미터!$B$11,0)+IF(B75&gt;=3,파라미터!$B$12,0)))+MAX(0,파라미터!$B$5*(IF(B75&gt;=1,파라미터!$B$10,0)+IF(B75&gt;=2,파라미터!$B$11,0)+IF(B75&gt;=3,파라미터!$B$12,0))-파라미터!$B$15))*파라미터!$B$16</f>
        <v/>
      </c>
      <c r="E75" s="15">
        <f>B75*파라미터!$B$7</f>
        <v/>
      </c>
      <c r="F75" s="15">
        <f>MAX(0,파라미터!$B$19+파라미터!$B$20-C75)</f>
        <v/>
      </c>
      <c r="G75" s="15">
        <f>IF(MOD($A75-1,파라미터!$B$22)=0,파라미터!$B$21,0)</f>
        <v/>
      </c>
      <c r="H75" s="15">
        <f>D75-E75-F75-G75</f>
        <v/>
      </c>
      <c r="I75" s="15">
        <f>MAX(0,I74+H75)</f>
        <v/>
      </c>
      <c r="J75" s="14">
        <f>B75*파라미터!$B$25</f>
        <v/>
      </c>
    </row>
    <row r="76">
      <c r="A76" s="14" t="n">
        <v>70</v>
      </c>
      <c r="B76" s="14">
        <f>IF($B$4=2,IF(AND(MOD($A76,파라미터!$B$6)=0,$A76&gt;=파라미터!$B$6),$B$3,0),IF(OR($A76&lt;파라미터!$B$6,MOD($A76,파라미터!$B$6)&gt;=$B$3),0,INT(($B$3-MOD($A76,파라미터!$B$6)-1)/파라미터!$B$6)+1))</f>
        <v/>
      </c>
      <c r="C76" s="15">
        <f>MIN(파라미터!$B$15,파라미터!$B$5*(IF(B76&gt;=1,파라미터!$B$10,0)+IF(B76&gt;=2,파라미터!$B$11,0)+IF(B76&gt;=3,파라미터!$B$12,0)))</f>
        <v/>
      </c>
      <c r="D76" s="15">
        <f>((B76*파라미터!$B$5-파라미터!$B$5*(IF(B76&gt;=1,파라미터!$B$10,0)+IF(B76&gt;=2,파라미터!$B$11,0)+IF(B76&gt;=3,파라미터!$B$12,0)))+MAX(0,파라미터!$B$5*(IF(B76&gt;=1,파라미터!$B$10,0)+IF(B76&gt;=2,파라미터!$B$11,0)+IF(B76&gt;=3,파라미터!$B$12,0))-파라미터!$B$15))*파라미터!$B$16</f>
        <v/>
      </c>
      <c r="E76" s="15">
        <f>B76*파라미터!$B$7</f>
        <v/>
      </c>
      <c r="F76" s="15">
        <f>MAX(0,파라미터!$B$19+파라미터!$B$20-C76)</f>
        <v/>
      </c>
      <c r="G76" s="15">
        <f>IF(MOD($A76-1,파라미터!$B$22)=0,파라미터!$B$21,0)</f>
        <v/>
      </c>
      <c r="H76" s="15">
        <f>D76-E76-F76-G76</f>
        <v/>
      </c>
      <c r="I76" s="15">
        <f>MAX(0,I75+H76)</f>
        <v/>
      </c>
      <c r="J76" s="14">
        <f>B76*파라미터!$B$25</f>
        <v/>
      </c>
    </row>
    <row r="77">
      <c r="A77" s="14" t="n">
        <v>71</v>
      </c>
      <c r="B77" s="14">
        <f>IF($B$4=2,IF(AND(MOD($A77,파라미터!$B$6)=0,$A77&gt;=파라미터!$B$6),$B$3,0),IF(OR($A77&lt;파라미터!$B$6,MOD($A77,파라미터!$B$6)&gt;=$B$3),0,INT(($B$3-MOD($A77,파라미터!$B$6)-1)/파라미터!$B$6)+1))</f>
        <v/>
      </c>
      <c r="C77" s="15">
        <f>MIN(파라미터!$B$15,파라미터!$B$5*(IF(B77&gt;=1,파라미터!$B$10,0)+IF(B77&gt;=2,파라미터!$B$11,0)+IF(B77&gt;=3,파라미터!$B$12,0)))</f>
        <v/>
      </c>
      <c r="D77" s="15">
        <f>((B77*파라미터!$B$5-파라미터!$B$5*(IF(B77&gt;=1,파라미터!$B$10,0)+IF(B77&gt;=2,파라미터!$B$11,0)+IF(B77&gt;=3,파라미터!$B$12,0)))+MAX(0,파라미터!$B$5*(IF(B77&gt;=1,파라미터!$B$10,0)+IF(B77&gt;=2,파라미터!$B$11,0)+IF(B77&gt;=3,파라미터!$B$12,0))-파라미터!$B$15))*파라미터!$B$16</f>
        <v/>
      </c>
      <c r="E77" s="15">
        <f>B77*파라미터!$B$7</f>
        <v/>
      </c>
      <c r="F77" s="15">
        <f>MAX(0,파라미터!$B$19+파라미터!$B$20-C77)</f>
        <v/>
      </c>
      <c r="G77" s="15">
        <f>IF(MOD($A77-1,파라미터!$B$22)=0,파라미터!$B$21,0)</f>
        <v/>
      </c>
      <c r="H77" s="15">
        <f>D77-E77-F77-G77</f>
        <v/>
      </c>
      <c r="I77" s="15">
        <f>MAX(0,I76+H77)</f>
        <v/>
      </c>
      <c r="J77" s="14">
        <f>B77*파라미터!$B$25</f>
        <v/>
      </c>
    </row>
    <row r="78">
      <c r="A78" s="14" t="n">
        <v>72</v>
      </c>
      <c r="B78" s="14">
        <f>IF($B$4=2,IF(AND(MOD($A78,파라미터!$B$6)=0,$A78&gt;=파라미터!$B$6),$B$3,0),IF(OR($A78&lt;파라미터!$B$6,MOD($A78,파라미터!$B$6)&gt;=$B$3),0,INT(($B$3-MOD($A78,파라미터!$B$6)-1)/파라미터!$B$6)+1))</f>
        <v/>
      </c>
      <c r="C78" s="15">
        <f>MIN(파라미터!$B$15,파라미터!$B$5*(IF(B78&gt;=1,파라미터!$B$10,0)+IF(B78&gt;=2,파라미터!$B$11,0)+IF(B78&gt;=3,파라미터!$B$12,0)))</f>
        <v/>
      </c>
      <c r="D78" s="15">
        <f>((B78*파라미터!$B$5-파라미터!$B$5*(IF(B78&gt;=1,파라미터!$B$10,0)+IF(B78&gt;=2,파라미터!$B$11,0)+IF(B78&gt;=3,파라미터!$B$12,0)))+MAX(0,파라미터!$B$5*(IF(B78&gt;=1,파라미터!$B$10,0)+IF(B78&gt;=2,파라미터!$B$11,0)+IF(B78&gt;=3,파라미터!$B$12,0))-파라미터!$B$15))*파라미터!$B$16</f>
        <v/>
      </c>
      <c r="E78" s="15">
        <f>B78*파라미터!$B$7</f>
        <v/>
      </c>
      <c r="F78" s="15">
        <f>MAX(0,파라미터!$B$19+파라미터!$B$20-C78)</f>
        <v/>
      </c>
      <c r="G78" s="15">
        <f>IF(MOD($A78-1,파라미터!$B$22)=0,파라미터!$B$21,0)</f>
        <v/>
      </c>
      <c r="H78" s="15">
        <f>D78-E78-F78-G78</f>
        <v/>
      </c>
      <c r="I78" s="15">
        <f>MAX(0,I77+H78)</f>
        <v/>
      </c>
      <c r="J78" s="14">
        <f>B78*파라미터!$B$25</f>
        <v/>
      </c>
    </row>
    <row r="79">
      <c r="A79" s="14" t="n">
        <v>73</v>
      </c>
      <c r="B79" s="14">
        <f>IF($B$4=2,IF(AND(MOD($A79,파라미터!$B$6)=0,$A79&gt;=파라미터!$B$6),$B$3,0),IF(OR($A79&lt;파라미터!$B$6,MOD($A79,파라미터!$B$6)&gt;=$B$3),0,INT(($B$3-MOD($A79,파라미터!$B$6)-1)/파라미터!$B$6)+1))</f>
        <v/>
      </c>
      <c r="C79" s="15">
        <f>MIN(파라미터!$B$15,파라미터!$B$5*(IF(B79&gt;=1,파라미터!$B$10,0)+IF(B79&gt;=2,파라미터!$B$11,0)+IF(B79&gt;=3,파라미터!$B$12,0)))</f>
        <v/>
      </c>
      <c r="D79" s="15">
        <f>((B79*파라미터!$B$5-파라미터!$B$5*(IF(B79&gt;=1,파라미터!$B$10,0)+IF(B79&gt;=2,파라미터!$B$11,0)+IF(B79&gt;=3,파라미터!$B$12,0)))+MAX(0,파라미터!$B$5*(IF(B79&gt;=1,파라미터!$B$10,0)+IF(B79&gt;=2,파라미터!$B$11,0)+IF(B79&gt;=3,파라미터!$B$12,0))-파라미터!$B$15))*파라미터!$B$16</f>
        <v/>
      </c>
      <c r="E79" s="15">
        <f>B79*파라미터!$B$7</f>
        <v/>
      </c>
      <c r="F79" s="15">
        <f>MAX(0,파라미터!$B$19+파라미터!$B$20-C79)</f>
        <v/>
      </c>
      <c r="G79" s="15">
        <f>IF(MOD($A79-1,파라미터!$B$22)=0,파라미터!$B$21,0)</f>
        <v/>
      </c>
      <c r="H79" s="15">
        <f>D79-E79-F79-G79</f>
        <v/>
      </c>
      <c r="I79" s="15">
        <f>MAX(0,I78+H79)</f>
        <v/>
      </c>
      <c r="J79" s="14">
        <f>B79*파라미터!$B$25</f>
        <v/>
      </c>
    </row>
    <row r="80">
      <c r="A80" s="14" t="n">
        <v>74</v>
      </c>
      <c r="B80" s="14">
        <f>IF($B$4=2,IF(AND(MOD($A80,파라미터!$B$6)=0,$A80&gt;=파라미터!$B$6),$B$3,0),IF(OR($A80&lt;파라미터!$B$6,MOD($A80,파라미터!$B$6)&gt;=$B$3),0,INT(($B$3-MOD($A80,파라미터!$B$6)-1)/파라미터!$B$6)+1))</f>
        <v/>
      </c>
      <c r="C80" s="15">
        <f>MIN(파라미터!$B$15,파라미터!$B$5*(IF(B80&gt;=1,파라미터!$B$10,0)+IF(B80&gt;=2,파라미터!$B$11,0)+IF(B80&gt;=3,파라미터!$B$12,0)))</f>
        <v/>
      </c>
      <c r="D80" s="15">
        <f>((B80*파라미터!$B$5-파라미터!$B$5*(IF(B80&gt;=1,파라미터!$B$10,0)+IF(B80&gt;=2,파라미터!$B$11,0)+IF(B80&gt;=3,파라미터!$B$12,0)))+MAX(0,파라미터!$B$5*(IF(B80&gt;=1,파라미터!$B$10,0)+IF(B80&gt;=2,파라미터!$B$11,0)+IF(B80&gt;=3,파라미터!$B$12,0))-파라미터!$B$15))*파라미터!$B$16</f>
        <v/>
      </c>
      <c r="E80" s="15">
        <f>B80*파라미터!$B$7</f>
        <v/>
      </c>
      <c r="F80" s="15">
        <f>MAX(0,파라미터!$B$19+파라미터!$B$20-C80)</f>
        <v/>
      </c>
      <c r="G80" s="15">
        <f>IF(MOD($A80-1,파라미터!$B$22)=0,파라미터!$B$21,0)</f>
        <v/>
      </c>
      <c r="H80" s="15">
        <f>D80-E80-F80-G80</f>
        <v/>
      </c>
      <c r="I80" s="15">
        <f>MAX(0,I79+H80)</f>
        <v/>
      </c>
      <c r="J80" s="14">
        <f>B80*파라미터!$B$25</f>
        <v/>
      </c>
    </row>
    <row r="81">
      <c r="A81" s="14" t="n">
        <v>75</v>
      </c>
      <c r="B81" s="14">
        <f>IF($B$4=2,IF(AND(MOD($A81,파라미터!$B$6)=0,$A81&gt;=파라미터!$B$6),$B$3,0),IF(OR($A81&lt;파라미터!$B$6,MOD($A81,파라미터!$B$6)&gt;=$B$3),0,INT(($B$3-MOD($A81,파라미터!$B$6)-1)/파라미터!$B$6)+1))</f>
        <v/>
      </c>
      <c r="C81" s="15">
        <f>MIN(파라미터!$B$15,파라미터!$B$5*(IF(B81&gt;=1,파라미터!$B$10,0)+IF(B81&gt;=2,파라미터!$B$11,0)+IF(B81&gt;=3,파라미터!$B$12,0)))</f>
        <v/>
      </c>
      <c r="D81" s="15">
        <f>((B81*파라미터!$B$5-파라미터!$B$5*(IF(B81&gt;=1,파라미터!$B$10,0)+IF(B81&gt;=2,파라미터!$B$11,0)+IF(B81&gt;=3,파라미터!$B$12,0)))+MAX(0,파라미터!$B$5*(IF(B81&gt;=1,파라미터!$B$10,0)+IF(B81&gt;=2,파라미터!$B$11,0)+IF(B81&gt;=3,파라미터!$B$12,0))-파라미터!$B$15))*파라미터!$B$16</f>
        <v/>
      </c>
      <c r="E81" s="15">
        <f>B81*파라미터!$B$7</f>
        <v/>
      </c>
      <c r="F81" s="15">
        <f>MAX(0,파라미터!$B$19+파라미터!$B$20-C81)</f>
        <v/>
      </c>
      <c r="G81" s="15">
        <f>IF(MOD($A81-1,파라미터!$B$22)=0,파라미터!$B$21,0)</f>
        <v/>
      </c>
      <c r="H81" s="15">
        <f>D81-E81-F81-G81</f>
        <v/>
      </c>
      <c r="I81" s="15">
        <f>MAX(0,I80+H81)</f>
        <v/>
      </c>
      <c r="J81" s="14">
        <f>B81*파라미터!$B$25</f>
        <v/>
      </c>
    </row>
    <row r="82">
      <c r="A82" s="14" t="n">
        <v>76</v>
      </c>
      <c r="B82" s="14">
        <f>IF($B$4=2,IF(AND(MOD($A82,파라미터!$B$6)=0,$A82&gt;=파라미터!$B$6),$B$3,0),IF(OR($A82&lt;파라미터!$B$6,MOD($A82,파라미터!$B$6)&gt;=$B$3),0,INT(($B$3-MOD($A82,파라미터!$B$6)-1)/파라미터!$B$6)+1))</f>
        <v/>
      </c>
      <c r="C82" s="15">
        <f>MIN(파라미터!$B$15,파라미터!$B$5*(IF(B82&gt;=1,파라미터!$B$10,0)+IF(B82&gt;=2,파라미터!$B$11,0)+IF(B82&gt;=3,파라미터!$B$12,0)))</f>
        <v/>
      </c>
      <c r="D82" s="15">
        <f>((B82*파라미터!$B$5-파라미터!$B$5*(IF(B82&gt;=1,파라미터!$B$10,0)+IF(B82&gt;=2,파라미터!$B$11,0)+IF(B82&gt;=3,파라미터!$B$12,0)))+MAX(0,파라미터!$B$5*(IF(B82&gt;=1,파라미터!$B$10,0)+IF(B82&gt;=2,파라미터!$B$11,0)+IF(B82&gt;=3,파라미터!$B$12,0))-파라미터!$B$15))*파라미터!$B$16</f>
        <v/>
      </c>
      <c r="E82" s="15">
        <f>B82*파라미터!$B$7</f>
        <v/>
      </c>
      <c r="F82" s="15">
        <f>MAX(0,파라미터!$B$19+파라미터!$B$20-C82)</f>
        <v/>
      </c>
      <c r="G82" s="15">
        <f>IF(MOD($A82-1,파라미터!$B$22)=0,파라미터!$B$21,0)</f>
        <v/>
      </c>
      <c r="H82" s="15">
        <f>D82-E82-F82-G82</f>
        <v/>
      </c>
      <c r="I82" s="15">
        <f>MAX(0,I81+H82)</f>
        <v/>
      </c>
      <c r="J82" s="14">
        <f>B82*파라미터!$B$25</f>
        <v/>
      </c>
    </row>
    <row r="83">
      <c r="A83" s="14" t="n">
        <v>77</v>
      </c>
      <c r="B83" s="14">
        <f>IF($B$4=2,IF(AND(MOD($A83,파라미터!$B$6)=0,$A83&gt;=파라미터!$B$6),$B$3,0),IF(OR($A83&lt;파라미터!$B$6,MOD($A83,파라미터!$B$6)&gt;=$B$3),0,INT(($B$3-MOD($A83,파라미터!$B$6)-1)/파라미터!$B$6)+1))</f>
        <v/>
      </c>
      <c r="C83" s="15">
        <f>MIN(파라미터!$B$15,파라미터!$B$5*(IF(B83&gt;=1,파라미터!$B$10,0)+IF(B83&gt;=2,파라미터!$B$11,0)+IF(B83&gt;=3,파라미터!$B$12,0)))</f>
        <v/>
      </c>
      <c r="D83" s="15">
        <f>((B83*파라미터!$B$5-파라미터!$B$5*(IF(B83&gt;=1,파라미터!$B$10,0)+IF(B83&gt;=2,파라미터!$B$11,0)+IF(B83&gt;=3,파라미터!$B$12,0)))+MAX(0,파라미터!$B$5*(IF(B83&gt;=1,파라미터!$B$10,0)+IF(B83&gt;=2,파라미터!$B$11,0)+IF(B83&gt;=3,파라미터!$B$12,0))-파라미터!$B$15))*파라미터!$B$16</f>
        <v/>
      </c>
      <c r="E83" s="15">
        <f>B83*파라미터!$B$7</f>
        <v/>
      </c>
      <c r="F83" s="15">
        <f>MAX(0,파라미터!$B$19+파라미터!$B$20-C83)</f>
        <v/>
      </c>
      <c r="G83" s="15">
        <f>IF(MOD($A83-1,파라미터!$B$22)=0,파라미터!$B$21,0)</f>
        <v/>
      </c>
      <c r="H83" s="15">
        <f>D83-E83-F83-G83</f>
        <v/>
      </c>
      <c r="I83" s="15">
        <f>MAX(0,I82+H83)</f>
        <v/>
      </c>
      <c r="J83" s="14">
        <f>B83*파라미터!$B$25</f>
        <v/>
      </c>
    </row>
    <row r="84">
      <c r="A84" s="14" t="n">
        <v>78</v>
      </c>
      <c r="B84" s="14">
        <f>IF($B$4=2,IF(AND(MOD($A84,파라미터!$B$6)=0,$A84&gt;=파라미터!$B$6),$B$3,0),IF(OR($A84&lt;파라미터!$B$6,MOD($A84,파라미터!$B$6)&gt;=$B$3),0,INT(($B$3-MOD($A84,파라미터!$B$6)-1)/파라미터!$B$6)+1))</f>
        <v/>
      </c>
      <c r="C84" s="15">
        <f>MIN(파라미터!$B$15,파라미터!$B$5*(IF(B84&gt;=1,파라미터!$B$10,0)+IF(B84&gt;=2,파라미터!$B$11,0)+IF(B84&gt;=3,파라미터!$B$12,0)))</f>
        <v/>
      </c>
      <c r="D84" s="15">
        <f>((B84*파라미터!$B$5-파라미터!$B$5*(IF(B84&gt;=1,파라미터!$B$10,0)+IF(B84&gt;=2,파라미터!$B$11,0)+IF(B84&gt;=3,파라미터!$B$12,0)))+MAX(0,파라미터!$B$5*(IF(B84&gt;=1,파라미터!$B$10,0)+IF(B84&gt;=2,파라미터!$B$11,0)+IF(B84&gt;=3,파라미터!$B$12,0))-파라미터!$B$15))*파라미터!$B$16</f>
        <v/>
      </c>
      <c r="E84" s="15">
        <f>B84*파라미터!$B$7</f>
        <v/>
      </c>
      <c r="F84" s="15">
        <f>MAX(0,파라미터!$B$19+파라미터!$B$20-C84)</f>
        <v/>
      </c>
      <c r="G84" s="15">
        <f>IF(MOD($A84-1,파라미터!$B$22)=0,파라미터!$B$21,0)</f>
        <v/>
      </c>
      <c r="H84" s="15">
        <f>D84-E84-F84-G84</f>
        <v/>
      </c>
      <c r="I84" s="15">
        <f>MAX(0,I83+H84)</f>
        <v/>
      </c>
      <c r="J84" s="14">
        <f>B84*파라미터!$B$25</f>
        <v/>
      </c>
    </row>
    <row r="85">
      <c r="A85" s="14" t="n">
        <v>79</v>
      </c>
      <c r="B85" s="14">
        <f>IF($B$4=2,IF(AND(MOD($A85,파라미터!$B$6)=0,$A85&gt;=파라미터!$B$6),$B$3,0),IF(OR($A85&lt;파라미터!$B$6,MOD($A85,파라미터!$B$6)&gt;=$B$3),0,INT(($B$3-MOD($A85,파라미터!$B$6)-1)/파라미터!$B$6)+1))</f>
        <v/>
      </c>
      <c r="C85" s="15">
        <f>MIN(파라미터!$B$15,파라미터!$B$5*(IF(B85&gt;=1,파라미터!$B$10,0)+IF(B85&gt;=2,파라미터!$B$11,0)+IF(B85&gt;=3,파라미터!$B$12,0)))</f>
        <v/>
      </c>
      <c r="D85" s="15">
        <f>((B85*파라미터!$B$5-파라미터!$B$5*(IF(B85&gt;=1,파라미터!$B$10,0)+IF(B85&gt;=2,파라미터!$B$11,0)+IF(B85&gt;=3,파라미터!$B$12,0)))+MAX(0,파라미터!$B$5*(IF(B85&gt;=1,파라미터!$B$10,0)+IF(B85&gt;=2,파라미터!$B$11,0)+IF(B85&gt;=3,파라미터!$B$12,0))-파라미터!$B$15))*파라미터!$B$16</f>
        <v/>
      </c>
      <c r="E85" s="15">
        <f>B85*파라미터!$B$7</f>
        <v/>
      </c>
      <c r="F85" s="15">
        <f>MAX(0,파라미터!$B$19+파라미터!$B$20-C85)</f>
        <v/>
      </c>
      <c r="G85" s="15">
        <f>IF(MOD($A85-1,파라미터!$B$22)=0,파라미터!$B$21,0)</f>
        <v/>
      </c>
      <c r="H85" s="15">
        <f>D85-E85-F85-G85</f>
        <v/>
      </c>
      <c r="I85" s="15">
        <f>MAX(0,I84+H85)</f>
        <v/>
      </c>
      <c r="J85" s="14">
        <f>B85*파라미터!$B$25</f>
        <v/>
      </c>
    </row>
    <row r="86">
      <c r="A86" s="14" t="n">
        <v>80</v>
      </c>
      <c r="B86" s="14">
        <f>IF($B$4=2,IF(AND(MOD($A86,파라미터!$B$6)=0,$A86&gt;=파라미터!$B$6),$B$3,0),IF(OR($A86&lt;파라미터!$B$6,MOD($A86,파라미터!$B$6)&gt;=$B$3),0,INT(($B$3-MOD($A86,파라미터!$B$6)-1)/파라미터!$B$6)+1))</f>
        <v/>
      </c>
      <c r="C86" s="15">
        <f>MIN(파라미터!$B$15,파라미터!$B$5*(IF(B86&gt;=1,파라미터!$B$10,0)+IF(B86&gt;=2,파라미터!$B$11,0)+IF(B86&gt;=3,파라미터!$B$12,0)))</f>
        <v/>
      </c>
      <c r="D86" s="15">
        <f>((B86*파라미터!$B$5-파라미터!$B$5*(IF(B86&gt;=1,파라미터!$B$10,0)+IF(B86&gt;=2,파라미터!$B$11,0)+IF(B86&gt;=3,파라미터!$B$12,0)))+MAX(0,파라미터!$B$5*(IF(B86&gt;=1,파라미터!$B$10,0)+IF(B86&gt;=2,파라미터!$B$11,0)+IF(B86&gt;=3,파라미터!$B$12,0))-파라미터!$B$15))*파라미터!$B$16</f>
        <v/>
      </c>
      <c r="E86" s="15">
        <f>B86*파라미터!$B$7</f>
        <v/>
      </c>
      <c r="F86" s="15">
        <f>MAX(0,파라미터!$B$19+파라미터!$B$20-C86)</f>
        <v/>
      </c>
      <c r="G86" s="15">
        <f>IF(MOD($A86-1,파라미터!$B$22)=0,파라미터!$B$21,0)</f>
        <v/>
      </c>
      <c r="H86" s="15">
        <f>D86-E86-F86-G86</f>
        <v/>
      </c>
      <c r="I86" s="15">
        <f>MAX(0,I85+H86)</f>
        <v/>
      </c>
      <c r="J86" s="14">
        <f>B86*파라미터!$B$25</f>
        <v/>
      </c>
    </row>
    <row r="87">
      <c r="A87" s="14" t="n">
        <v>81</v>
      </c>
      <c r="B87" s="14">
        <f>IF($B$4=2,IF(AND(MOD($A87,파라미터!$B$6)=0,$A87&gt;=파라미터!$B$6),$B$3,0),IF(OR($A87&lt;파라미터!$B$6,MOD($A87,파라미터!$B$6)&gt;=$B$3),0,INT(($B$3-MOD($A87,파라미터!$B$6)-1)/파라미터!$B$6)+1))</f>
        <v/>
      </c>
      <c r="C87" s="15">
        <f>MIN(파라미터!$B$15,파라미터!$B$5*(IF(B87&gt;=1,파라미터!$B$10,0)+IF(B87&gt;=2,파라미터!$B$11,0)+IF(B87&gt;=3,파라미터!$B$12,0)))</f>
        <v/>
      </c>
      <c r="D87" s="15">
        <f>((B87*파라미터!$B$5-파라미터!$B$5*(IF(B87&gt;=1,파라미터!$B$10,0)+IF(B87&gt;=2,파라미터!$B$11,0)+IF(B87&gt;=3,파라미터!$B$12,0)))+MAX(0,파라미터!$B$5*(IF(B87&gt;=1,파라미터!$B$10,0)+IF(B87&gt;=2,파라미터!$B$11,0)+IF(B87&gt;=3,파라미터!$B$12,0))-파라미터!$B$15))*파라미터!$B$16</f>
        <v/>
      </c>
      <c r="E87" s="15">
        <f>B87*파라미터!$B$7</f>
        <v/>
      </c>
      <c r="F87" s="15">
        <f>MAX(0,파라미터!$B$19+파라미터!$B$20-C87)</f>
        <v/>
      </c>
      <c r="G87" s="15">
        <f>IF(MOD($A87-1,파라미터!$B$22)=0,파라미터!$B$21,0)</f>
        <v/>
      </c>
      <c r="H87" s="15">
        <f>D87-E87-F87-G87</f>
        <v/>
      </c>
      <c r="I87" s="15">
        <f>MAX(0,I86+H87)</f>
        <v/>
      </c>
      <c r="J87" s="14">
        <f>B87*파라미터!$B$25</f>
        <v/>
      </c>
    </row>
    <row r="88">
      <c r="A88" s="14" t="n">
        <v>82</v>
      </c>
      <c r="B88" s="14">
        <f>IF($B$4=2,IF(AND(MOD($A88,파라미터!$B$6)=0,$A88&gt;=파라미터!$B$6),$B$3,0),IF(OR($A88&lt;파라미터!$B$6,MOD($A88,파라미터!$B$6)&gt;=$B$3),0,INT(($B$3-MOD($A88,파라미터!$B$6)-1)/파라미터!$B$6)+1))</f>
        <v/>
      </c>
      <c r="C88" s="15">
        <f>MIN(파라미터!$B$15,파라미터!$B$5*(IF(B88&gt;=1,파라미터!$B$10,0)+IF(B88&gt;=2,파라미터!$B$11,0)+IF(B88&gt;=3,파라미터!$B$12,0)))</f>
        <v/>
      </c>
      <c r="D88" s="15">
        <f>((B88*파라미터!$B$5-파라미터!$B$5*(IF(B88&gt;=1,파라미터!$B$10,0)+IF(B88&gt;=2,파라미터!$B$11,0)+IF(B88&gt;=3,파라미터!$B$12,0)))+MAX(0,파라미터!$B$5*(IF(B88&gt;=1,파라미터!$B$10,0)+IF(B88&gt;=2,파라미터!$B$11,0)+IF(B88&gt;=3,파라미터!$B$12,0))-파라미터!$B$15))*파라미터!$B$16</f>
        <v/>
      </c>
      <c r="E88" s="15">
        <f>B88*파라미터!$B$7</f>
        <v/>
      </c>
      <c r="F88" s="15">
        <f>MAX(0,파라미터!$B$19+파라미터!$B$20-C88)</f>
        <v/>
      </c>
      <c r="G88" s="15">
        <f>IF(MOD($A88-1,파라미터!$B$22)=0,파라미터!$B$21,0)</f>
        <v/>
      </c>
      <c r="H88" s="15">
        <f>D88-E88-F88-G88</f>
        <v/>
      </c>
      <c r="I88" s="15">
        <f>MAX(0,I87+H88)</f>
        <v/>
      </c>
      <c r="J88" s="14">
        <f>B88*파라미터!$B$25</f>
        <v/>
      </c>
    </row>
    <row r="89">
      <c r="A89" s="14" t="n">
        <v>83</v>
      </c>
      <c r="B89" s="14">
        <f>IF($B$4=2,IF(AND(MOD($A89,파라미터!$B$6)=0,$A89&gt;=파라미터!$B$6),$B$3,0),IF(OR($A89&lt;파라미터!$B$6,MOD($A89,파라미터!$B$6)&gt;=$B$3),0,INT(($B$3-MOD($A89,파라미터!$B$6)-1)/파라미터!$B$6)+1))</f>
        <v/>
      </c>
      <c r="C89" s="15">
        <f>MIN(파라미터!$B$15,파라미터!$B$5*(IF(B89&gt;=1,파라미터!$B$10,0)+IF(B89&gt;=2,파라미터!$B$11,0)+IF(B89&gt;=3,파라미터!$B$12,0)))</f>
        <v/>
      </c>
      <c r="D89" s="15">
        <f>((B89*파라미터!$B$5-파라미터!$B$5*(IF(B89&gt;=1,파라미터!$B$10,0)+IF(B89&gt;=2,파라미터!$B$11,0)+IF(B89&gt;=3,파라미터!$B$12,0)))+MAX(0,파라미터!$B$5*(IF(B89&gt;=1,파라미터!$B$10,0)+IF(B89&gt;=2,파라미터!$B$11,0)+IF(B89&gt;=3,파라미터!$B$12,0))-파라미터!$B$15))*파라미터!$B$16</f>
        <v/>
      </c>
      <c r="E89" s="15">
        <f>B89*파라미터!$B$7</f>
        <v/>
      </c>
      <c r="F89" s="15">
        <f>MAX(0,파라미터!$B$19+파라미터!$B$20-C89)</f>
        <v/>
      </c>
      <c r="G89" s="15">
        <f>IF(MOD($A89-1,파라미터!$B$22)=0,파라미터!$B$21,0)</f>
        <v/>
      </c>
      <c r="H89" s="15">
        <f>D89-E89-F89-G89</f>
        <v/>
      </c>
      <c r="I89" s="15">
        <f>MAX(0,I88+H89)</f>
        <v/>
      </c>
      <c r="J89" s="14">
        <f>B89*파라미터!$B$25</f>
        <v/>
      </c>
    </row>
    <row r="90">
      <c r="A90" s="14" t="n">
        <v>84</v>
      </c>
      <c r="B90" s="14">
        <f>IF($B$4=2,IF(AND(MOD($A90,파라미터!$B$6)=0,$A90&gt;=파라미터!$B$6),$B$3,0),IF(OR($A90&lt;파라미터!$B$6,MOD($A90,파라미터!$B$6)&gt;=$B$3),0,INT(($B$3-MOD($A90,파라미터!$B$6)-1)/파라미터!$B$6)+1))</f>
        <v/>
      </c>
      <c r="C90" s="15">
        <f>MIN(파라미터!$B$15,파라미터!$B$5*(IF(B90&gt;=1,파라미터!$B$10,0)+IF(B90&gt;=2,파라미터!$B$11,0)+IF(B90&gt;=3,파라미터!$B$12,0)))</f>
        <v/>
      </c>
      <c r="D90" s="15">
        <f>((B90*파라미터!$B$5-파라미터!$B$5*(IF(B90&gt;=1,파라미터!$B$10,0)+IF(B90&gt;=2,파라미터!$B$11,0)+IF(B90&gt;=3,파라미터!$B$12,0)))+MAX(0,파라미터!$B$5*(IF(B90&gt;=1,파라미터!$B$10,0)+IF(B90&gt;=2,파라미터!$B$11,0)+IF(B90&gt;=3,파라미터!$B$12,0))-파라미터!$B$15))*파라미터!$B$16</f>
        <v/>
      </c>
      <c r="E90" s="15">
        <f>B90*파라미터!$B$7</f>
        <v/>
      </c>
      <c r="F90" s="15">
        <f>MAX(0,파라미터!$B$19+파라미터!$B$20-C90)</f>
        <v/>
      </c>
      <c r="G90" s="15">
        <f>IF(MOD($A90-1,파라미터!$B$22)=0,파라미터!$B$21,0)</f>
        <v/>
      </c>
      <c r="H90" s="15">
        <f>D90-E90-F90-G90</f>
        <v/>
      </c>
      <c r="I90" s="15">
        <f>MAX(0,I89+H90)</f>
        <v/>
      </c>
      <c r="J90" s="14">
        <f>B90*파라미터!$B$25</f>
        <v/>
      </c>
    </row>
    <row r="91">
      <c r="A91" s="14" t="n">
        <v>85</v>
      </c>
      <c r="B91" s="14">
        <f>IF($B$4=2,IF(AND(MOD($A91,파라미터!$B$6)=0,$A91&gt;=파라미터!$B$6),$B$3,0),IF(OR($A91&lt;파라미터!$B$6,MOD($A91,파라미터!$B$6)&gt;=$B$3),0,INT(($B$3-MOD($A91,파라미터!$B$6)-1)/파라미터!$B$6)+1))</f>
        <v/>
      </c>
      <c r="C91" s="15">
        <f>MIN(파라미터!$B$15,파라미터!$B$5*(IF(B91&gt;=1,파라미터!$B$10,0)+IF(B91&gt;=2,파라미터!$B$11,0)+IF(B91&gt;=3,파라미터!$B$12,0)))</f>
        <v/>
      </c>
      <c r="D91" s="15">
        <f>((B91*파라미터!$B$5-파라미터!$B$5*(IF(B91&gt;=1,파라미터!$B$10,0)+IF(B91&gt;=2,파라미터!$B$11,0)+IF(B91&gt;=3,파라미터!$B$12,0)))+MAX(0,파라미터!$B$5*(IF(B91&gt;=1,파라미터!$B$10,0)+IF(B91&gt;=2,파라미터!$B$11,0)+IF(B91&gt;=3,파라미터!$B$12,0))-파라미터!$B$15))*파라미터!$B$16</f>
        <v/>
      </c>
      <c r="E91" s="15">
        <f>B91*파라미터!$B$7</f>
        <v/>
      </c>
      <c r="F91" s="15">
        <f>MAX(0,파라미터!$B$19+파라미터!$B$20-C91)</f>
        <v/>
      </c>
      <c r="G91" s="15">
        <f>IF(MOD($A91-1,파라미터!$B$22)=0,파라미터!$B$21,0)</f>
        <v/>
      </c>
      <c r="H91" s="15">
        <f>D91-E91-F91-G91</f>
        <v/>
      </c>
      <c r="I91" s="15">
        <f>MAX(0,I90+H91)</f>
        <v/>
      </c>
      <c r="J91" s="14">
        <f>B91*파라미터!$B$25</f>
        <v/>
      </c>
    </row>
    <row r="92">
      <c r="A92" s="14" t="n">
        <v>86</v>
      </c>
      <c r="B92" s="14">
        <f>IF($B$4=2,IF(AND(MOD($A92,파라미터!$B$6)=0,$A92&gt;=파라미터!$B$6),$B$3,0),IF(OR($A92&lt;파라미터!$B$6,MOD($A92,파라미터!$B$6)&gt;=$B$3),0,INT(($B$3-MOD($A92,파라미터!$B$6)-1)/파라미터!$B$6)+1))</f>
        <v/>
      </c>
      <c r="C92" s="15">
        <f>MIN(파라미터!$B$15,파라미터!$B$5*(IF(B92&gt;=1,파라미터!$B$10,0)+IF(B92&gt;=2,파라미터!$B$11,0)+IF(B92&gt;=3,파라미터!$B$12,0)))</f>
        <v/>
      </c>
      <c r="D92" s="15">
        <f>((B92*파라미터!$B$5-파라미터!$B$5*(IF(B92&gt;=1,파라미터!$B$10,0)+IF(B92&gt;=2,파라미터!$B$11,0)+IF(B92&gt;=3,파라미터!$B$12,0)))+MAX(0,파라미터!$B$5*(IF(B92&gt;=1,파라미터!$B$10,0)+IF(B92&gt;=2,파라미터!$B$11,0)+IF(B92&gt;=3,파라미터!$B$12,0))-파라미터!$B$15))*파라미터!$B$16</f>
        <v/>
      </c>
      <c r="E92" s="15">
        <f>B92*파라미터!$B$7</f>
        <v/>
      </c>
      <c r="F92" s="15">
        <f>MAX(0,파라미터!$B$19+파라미터!$B$20-C92)</f>
        <v/>
      </c>
      <c r="G92" s="15">
        <f>IF(MOD($A92-1,파라미터!$B$22)=0,파라미터!$B$21,0)</f>
        <v/>
      </c>
      <c r="H92" s="15">
        <f>D92-E92-F92-G92</f>
        <v/>
      </c>
      <c r="I92" s="15">
        <f>MAX(0,I91+H92)</f>
        <v/>
      </c>
      <c r="J92" s="14">
        <f>B92*파라미터!$B$25</f>
        <v/>
      </c>
    </row>
    <row r="93">
      <c r="A93" s="14" t="n">
        <v>87</v>
      </c>
      <c r="B93" s="14">
        <f>IF($B$4=2,IF(AND(MOD($A93,파라미터!$B$6)=0,$A93&gt;=파라미터!$B$6),$B$3,0),IF(OR($A93&lt;파라미터!$B$6,MOD($A93,파라미터!$B$6)&gt;=$B$3),0,INT(($B$3-MOD($A93,파라미터!$B$6)-1)/파라미터!$B$6)+1))</f>
        <v/>
      </c>
      <c r="C93" s="15">
        <f>MIN(파라미터!$B$15,파라미터!$B$5*(IF(B93&gt;=1,파라미터!$B$10,0)+IF(B93&gt;=2,파라미터!$B$11,0)+IF(B93&gt;=3,파라미터!$B$12,0)))</f>
        <v/>
      </c>
      <c r="D93" s="15">
        <f>((B93*파라미터!$B$5-파라미터!$B$5*(IF(B93&gt;=1,파라미터!$B$10,0)+IF(B93&gt;=2,파라미터!$B$11,0)+IF(B93&gt;=3,파라미터!$B$12,0)))+MAX(0,파라미터!$B$5*(IF(B93&gt;=1,파라미터!$B$10,0)+IF(B93&gt;=2,파라미터!$B$11,0)+IF(B93&gt;=3,파라미터!$B$12,0))-파라미터!$B$15))*파라미터!$B$16</f>
        <v/>
      </c>
      <c r="E93" s="15">
        <f>B93*파라미터!$B$7</f>
        <v/>
      </c>
      <c r="F93" s="15">
        <f>MAX(0,파라미터!$B$19+파라미터!$B$20-C93)</f>
        <v/>
      </c>
      <c r="G93" s="15">
        <f>IF(MOD($A93-1,파라미터!$B$22)=0,파라미터!$B$21,0)</f>
        <v/>
      </c>
      <c r="H93" s="15">
        <f>D93-E93-F93-G93</f>
        <v/>
      </c>
      <c r="I93" s="15">
        <f>MAX(0,I92+H93)</f>
        <v/>
      </c>
      <c r="J93" s="14">
        <f>B93*파라미터!$B$25</f>
        <v/>
      </c>
    </row>
    <row r="94">
      <c r="A94" s="14" t="n">
        <v>88</v>
      </c>
      <c r="B94" s="14">
        <f>IF($B$4=2,IF(AND(MOD($A94,파라미터!$B$6)=0,$A94&gt;=파라미터!$B$6),$B$3,0),IF(OR($A94&lt;파라미터!$B$6,MOD($A94,파라미터!$B$6)&gt;=$B$3),0,INT(($B$3-MOD($A94,파라미터!$B$6)-1)/파라미터!$B$6)+1))</f>
        <v/>
      </c>
      <c r="C94" s="15">
        <f>MIN(파라미터!$B$15,파라미터!$B$5*(IF(B94&gt;=1,파라미터!$B$10,0)+IF(B94&gt;=2,파라미터!$B$11,0)+IF(B94&gt;=3,파라미터!$B$12,0)))</f>
        <v/>
      </c>
      <c r="D94" s="15">
        <f>((B94*파라미터!$B$5-파라미터!$B$5*(IF(B94&gt;=1,파라미터!$B$10,0)+IF(B94&gt;=2,파라미터!$B$11,0)+IF(B94&gt;=3,파라미터!$B$12,0)))+MAX(0,파라미터!$B$5*(IF(B94&gt;=1,파라미터!$B$10,0)+IF(B94&gt;=2,파라미터!$B$11,0)+IF(B94&gt;=3,파라미터!$B$12,0))-파라미터!$B$15))*파라미터!$B$16</f>
        <v/>
      </c>
      <c r="E94" s="15">
        <f>B94*파라미터!$B$7</f>
        <v/>
      </c>
      <c r="F94" s="15">
        <f>MAX(0,파라미터!$B$19+파라미터!$B$20-C94)</f>
        <v/>
      </c>
      <c r="G94" s="15">
        <f>IF(MOD($A94-1,파라미터!$B$22)=0,파라미터!$B$21,0)</f>
        <v/>
      </c>
      <c r="H94" s="15">
        <f>D94-E94-F94-G94</f>
        <v/>
      </c>
      <c r="I94" s="15">
        <f>MAX(0,I93+H94)</f>
        <v/>
      </c>
      <c r="J94" s="14">
        <f>B94*파라미터!$B$25</f>
        <v/>
      </c>
    </row>
    <row r="95">
      <c r="A95" s="14" t="n">
        <v>89</v>
      </c>
      <c r="B95" s="14">
        <f>IF($B$4=2,IF(AND(MOD($A95,파라미터!$B$6)=0,$A95&gt;=파라미터!$B$6),$B$3,0),IF(OR($A95&lt;파라미터!$B$6,MOD($A95,파라미터!$B$6)&gt;=$B$3),0,INT(($B$3-MOD($A95,파라미터!$B$6)-1)/파라미터!$B$6)+1))</f>
        <v/>
      </c>
      <c r="C95" s="15">
        <f>MIN(파라미터!$B$15,파라미터!$B$5*(IF(B95&gt;=1,파라미터!$B$10,0)+IF(B95&gt;=2,파라미터!$B$11,0)+IF(B95&gt;=3,파라미터!$B$12,0)))</f>
        <v/>
      </c>
      <c r="D95" s="15">
        <f>((B95*파라미터!$B$5-파라미터!$B$5*(IF(B95&gt;=1,파라미터!$B$10,0)+IF(B95&gt;=2,파라미터!$B$11,0)+IF(B95&gt;=3,파라미터!$B$12,0)))+MAX(0,파라미터!$B$5*(IF(B95&gt;=1,파라미터!$B$10,0)+IF(B95&gt;=2,파라미터!$B$11,0)+IF(B95&gt;=3,파라미터!$B$12,0))-파라미터!$B$15))*파라미터!$B$16</f>
        <v/>
      </c>
      <c r="E95" s="15">
        <f>B95*파라미터!$B$7</f>
        <v/>
      </c>
      <c r="F95" s="15">
        <f>MAX(0,파라미터!$B$19+파라미터!$B$20-C95)</f>
        <v/>
      </c>
      <c r="G95" s="15">
        <f>IF(MOD($A95-1,파라미터!$B$22)=0,파라미터!$B$21,0)</f>
        <v/>
      </c>
      <c r="H95" s="15">
        <f>D95-E95-F95-G95</f>
        <v/>
      </c>
      <c r="I95" s="15">
        <f>MAX(0,I94+H95)</f>
        <v/>
      </c>
      <c r="J95" s="14">
        <f>B95*파라미터!$B$25</f>
        <v/>
      </c>
    </row>
    <row r="96">
      <c r="A96" s="14" t="n">
        <v>90</v>
      </c>
      <c r="B96" s="14">
        <f>IF($B$4=2,IF(AND(MOD($A96,파라미터!$B$6)=0,$A96&gt;=파라미터!$B$6),$B$3,0),IF(OR($A96&lt;파라미터!$B$6,MOD($A96,파라미터!$B$6)&gt;=$B$3),0,INT(($B$3-MOD($A96,파라미터!$B$6)-1)/파라미터!$B$6)+1))</f>
        <v/>
      </c>
      <c r="C96" s="15">
        <f>MIN(파라미터!$B$15,파라미터!$B$5*(IF(B96&gt;=1,파라미터!$B$10,0)+IF(B96&gt;=2,파라미터!$B$11,0)+IF(B96&gt;=3,파라미터!$B$12,0)))</f>
        <v/>
      </c>
      <c r="D96" s="15">
        <f>((B96*파라미터!$B$5-파라미터!$B$5*(IF(B96&gt;=1,파라미터!$B$10,0)+IF(B96&gt;=2,파라미터!$B$11,0)+IF(B96&gt;=3,파라미터!$B$12,0)))+MAX(0,파라미터!$B$5*(IF(B96&gt;=1,파라미터!$B$10,0)+IF(B96&gt;=2,파라미터!$B$11,0)+IF(B96&gt;=3,파라미터!$B$12,0))-파라미터!$B$15))*파라미터!$B$16</f>
        <v/>
      </c>
      <c r="E96" s="15">
        <f>B96*파라미터!$B$7</f>
        <v/>
      </c>
      <c r="F96" s="15">
        <f>MAX(0,파라미터!$B$19+파라미터!$B$20-C96)</f>
        <v/>
      </c>
      <c r="G96" s="15">
        <f>IF(MOD($A96-1,파라미터!$B$22)=0,파라미터!$B$21,0)</f>
        <v/>
      </c>
      <c r="H96" s="15">
        <f>D96-E96-F96-G96</f>
        <v/>
      </c>
      <c r="I96" s="15">
        <f>MAX(0,I95+H96)</f>
        <v/>
      </c>
      <c r="J96" s="14">
        <f>B96*파라미터!$B$25</f>
        <v/>
      </c>
    </row>
    <row r="97">
      <c r="A97" s="14" t="n">
        <v>91</v>
      </c>
      <c r="B97" s="14">
        <f>IF($B$4=2,IF(AND(MOD($A97,파라미터!$B$6)=0,$A97&gt;=파라미터!$B$6),$B$3,0),IF(OR($A97&lt;파라미터!$B$6,MOD($A97,파라미터!$B$6)&gt;=$B$3),0,INT(($B$3-MOD($A97,파라미터!$B$6)-1)/파라미터!$B$6)+1))</f>
        <v/>
      </c>
      <c r="C97" s="15">
        <f>MIN(파라미터!$B$15,파라미터!$B$5*(IF(B97&gt;=1,파라미터!$B$10,0)+IF(B97&gt;=2,파라미터!$B$11,0)+IF(B97&gt;=3,파라미터!$B$12,0)))</f>
        <v/>
      </c>
      <c r="D97" s="15">
        <f>((B97*파라미터!$B$5-파라미터!$B$5*(IF(B97&gt;=1,파라미터!$B$10,0)+IF(B97&gt;=2,파라미터!$B$11,0)+IF(B97&gt;=3,파라미터!$B$12,0)))+MAX(0,파라미터!$B$5*(IF(B97&gt;=1,파라미터!$B$10,0)+IF(B97&gt;=2,파라미터!$B$11,0)+IF(B97&gt;=3,파라미터!$B$12,0))-파라미터!$B$15))*파라미터!$B$16</f>
        <v/>
      </c>
      <c r="E97" s="15">
        <f>B97*파라미터!$B$7</f>
        <v/>
      </c>
      <c r="F97" s="15">
        <f>MAX(0,파라미터!$B$19+파라미터!$B$20-C97)</f>
        <v/>
      </c>
      <c r="G97" s="15">
        <f>IF(MOD($A97-1,파라미터!$B$22)=0,파라미터!$B$21,0)</f>
        <v/>
      </c>
      <c r="H97" s="15">
        <f>D97-E97-F97-G97</f>
        <v/>
      </c>
      <c r="I97" s="15">
        <f>MAX(0,I96+H97)</f>
        <v/>
      </c>
      <c r="J97" s="14">
        <f>B97*파라미터!$B$25</f>
        <v/>
      </c>
    </row>
    <row r="98">
      <c r="A98" s="14" t="n">
        <v>92</v>
      </c>
      <c r="B98" s="14">
        <f>IF($B$4=2,IF(AND(MOD($A98,파라미터!$B$6)=0,$A98&gt;=파라미터!$B$6),$B$3,0),IF(OR($A98&lt;파라미터!$B$6,MOD($A98,파라미터!$B$6)&gt;=$B$3),0,INT(($B$3-MOD($A98,파라미터!$B$6)-1)/파라미터!$B$6)+1))</f>
        <v/>
      </c>
      <c r="C98" s="15">
        <f>MIN(파라미터!$B$15,파라미터!$B$5*(IF(B98&gt;=1,파라미터!$B$10,0)+IF(B98&gt;=2,파라미터!$B$11,0)+IF(B98&gt;=3,파라미터!$B$12,0)))</f>
        <v/>
      </c>
      <c r="D98" s="15">
        <f>((B98*파라미터!$B$5-파라미터!$B$5*(IF(B98&gt;=1,파라미터!$B$10,0)+IF(B98&gt;=2,파라미터!$B$11,0)+IF(B98&gt;=3,파라미터!$B$12,0)))+MAX(0,파라미터!$B$5*(IF(B98&gt;=1,파라미터!$B$10,0)+IF(B98&gt;=2,파라미터!$B$11,0)+IF(B98&gt;=3,파라미터!$B$12,0))-파라미터!$B$15))*파라미터!$B$16</f>
        <v/>
      </c>
      <c r="E98" s="15">
        <f>B98*파라미터!$B$7</f>
        <v/>
      </c>
      <c r="F98" s="15">
        <f>MAX(0,파라미터!$B$19+파라미터!$B$20-C98)</f>
        <v/>
      </c>
      <c r="G98" s="15">
        <f>IF(MOD($A98-1,파라미터!$B$22)=0,파라미터!$B$21,0)</f>
        <v/>
      </c>
      <c r="H98" s="15">
        <f>D98-E98-F98-G98</f>
        <v/>
      </c>
      <c r="I98" s="15">
        <f>MAX(0,I97+H98)</f>
        <v/>
      </c>
      <c r="J98" s="14">
        <f>B98*파라미터!$B$25</f>
        <v/>
      </c>
    </row>
    <row r="99">
      <c r="A99" s="14" t="n">
        <v>93</v>
      </c>
      <c r="B99" s="14">
        <f>IF($B$4=2,IF(AND(MOD($A99,파라미터!$B$6)=0,$A99&gt;=파라미터!$B$6),$B$3,0),IF(OR($A99&lt;파라미터!$B$6,MOD($A99,파라미터!$B$6)&gt;=$B$3),0,INT(($B$3-MOD($A99,파라미터!$B$6)-1)/파라미터!$B$6)+1))</f>
        <v/>
      </c>
      <c r="C99" s="15">
        <f>MIN(파라미터!$B$15,파라미터!$B$5*(IF(B99&gt;=1,파라미터!$B$10,0)+IF(B99&gt;=2,파라미터!$B$11,0)+IF(B99&gt;=3,파라미터!$B$12,0)))</f>
        <v/>
      </c>
      <c r="D99" s="15">
        <f>((B99*파라미터!$B$5-파라미터!$B$5*(IF(B99&gt;=1,파라미터!$B$10,0)+IF(B99&gt;=2,파라미터!$B$11,0)+IF(B99&gt;=3,파라미터!$B$12,0)))+MAX(0,파라미터!$B$5*(IF(B99&gt;=1,파라미터!$B$10,0)+IF(B99&gt;=2,파라미터!$B$11,0)+IF(B99&gt;=3,파라미터!$B$12,0))-파라미터!$B$15))*파라미터!$B$16</f>
        <v/>
      </c>
      <c r="E99" s="15">
        <f>B99*파라미터!$B$7</f>
        <v/>
      </c>
      <c r="F99" s="15">
        <f>MAX(0,파라미터!$B$19+파라미터!$B$20-C99)</f>
        <v/>
      </c>
      <c r="G99" s="15">
        <f>IF(MOD($A99-1,파라미터!$B$22)=0,파라미터!$B$21,0)</f>
        <v/>
      </c>
      <c r="H99" s="15">
        <f>D99-E99-F99-G99</f>
        <v/>
      </c>
      <c r="I99" s="15">
        <f>MAX(0,I98+H99)</f>
        <v/>
      </c>
      <c r="J99" s="14">
        <f>B99*파라미터!$B$25</f>
        <v/>
      </c>
    </row>
    <row r="100">
      <c r="A100" s="14" t="n">
        <v>94</v>
      </c>
      <c r="B100" s="14">
        <f>IF($B$4=2,IF(AND(MOD($A100,파라미터!$B$6)=0,$A100&gt;=파라미터!$B$6),$B$3,0),IF(OR($A100&lt;파라미터!$B$6,MOD($A100,파라미터!$B$6)&gt;=$B$3),0,INT(($B$3-MOD($A100,파라미터!$B$6)-1)/파라미터!$B$6)+1))</f>
        <v/>
      </c>
      <c r="C100" s="15">
        <f>MIN(파라미터!$B$15,파라미터!$B$5*(IF(B100&gt;=1,파라미터!$B$10,0)+IF(B100&gt;=2,파라미터!$B$11,0)+IF(B100&gt;=3,파라미터!$B$12,0)))</f>
        <v/>
      </c>
      <c r="D100" s="15">
        <f>((B100*파라미터!$B$5-파라미터!$B$5*(IF(B100&gt;=1,파라미터!$B$10,0)+IF(B100&gt;=2,파라미터!$B$11,0)+IF(B100&gt;=3,파라미터!$B$12,0)))+MAX(0,파라미터!$B$5*(IF(B100&gt;=1,파라미터!$B$10,0)+IF(B100&gt;=2,파라미터!$B$11,0)+IF(B100&gt;=3,파라미터!$B$12,0))-파라미터!$B$15))*파라미터!$B$16</f>
        <v/>
      </c>
      <c r="E100" s="15">
        <f>B100*파라미터!$B$7</f>
        <v/>
      </c>
      <c r="F100" s="15">
        <f>MAX(0,파라미터!$B$19+파라미터!$B$20-C100)</f>
        <v/>
      </c>
      <c r="G100" s="15">
        <f>IF(MOD($A100-1,파라미터!$B$22)=0,파라미터!$B$21,0)</f>
        <v/>
      </c>
      <c r="H100" s="15">
        <f>D100-E100-F100-G100</f>
        <v/>
      </c>
      <c r="I100" s="15">
        <f>MAX(0,I99+H100)</f>
        <v/>
      </c>
      <c r="J100" s="14">
        <f>B100*파라미터!$B$25</f>
        <v/>
      </c>
    </row>
    <row r="101">
      <c r="A101" s="14" t="n">
        <v>95</v>
      </c>
      <c r="B101" s="14">
        <f>IF($B$4=2,IF(AND(MOD($A101,파라미터!$B$6)=0,$A101&gt;=파라미터!$B$6),$B$3,0),IF(OR($A101&lt;파라미터!$B$6,MOD($A101,파라미터!$B$6)&gt;=$B$3),0,INT(($B$3-MOD($A101,파라미터!$B$6)-1)/파라미터!$B$6)+1))</f>
        <v/>
      </c>
      <c r="C101" s="15">
        <f>MIN(파라미터!$B$15,파라미터!$B$5*(IF(B101&gt;=1,파라미터!$B$10,0)+IF(B101&gt;=2,파라미터!$B$11,0)+IF(B101&gt;=3,파라미터!$B$12,0)))</f>
        <v/>
      </c>
      <c r="D101" s="15">
        <f>((B101*파라미터!$B$5-파라미터!$B$5*(IF(B101&gt;=1,파라미터!$B$10,0)+IF(B101&gt;=2,파라미터!$B$11,0)+IF(B101&gt;=3,파라미터!$B$12,0)))+MAX(0,파라미터!$B$5*(IF(B101&gt;=1,파라미터!$B$10,0)+IF(B101&gt;=2,파라미터!$B$11,0)+IF(B101&gt;=3,파라미터!$B$12,0))-파라미터!$B$15))*파라미터!$B$16</f>
        <v/>
      </c>
      <c r="E101" s="15">
        <f>B101*파라미터!$B$7</f>
        <v/>
      </c>
      <c r="F101" s="15">
        <f>MAX(0,파라미터!$B$19+파라미터!$B$20-C101)</f>
        <v/>
      </c>
      <c r="G101" s="15">
        <f>IF(MOD($A101-1,파라미터!$B$22)=0,파라미터!$B$21,0)</f>
        <v/>
      </c>
      <c r="H101" s="15">
        <f>D101-E101-F101-G101</f>
        <v/>
      </c>
      <c r="I101" s="15">
        <f>MAX(0,I100+H101)</f>
        <v/>
      </c>
      <c r="J101" s="14">
        <f>B101*파라미터!$B$25</f>
        <v/>
      </c>
    </row>
    <row r="102">
      <c r="A102" s="14" t="n">
        <v>96</v>
      </c>
      <c r="B102" s="14">
        <f>IF($B$4=2,IF(AND(MOD($A102,파라미터!$B$6)=0,$A102&gt;=파라미터!$B$6),$B$3,0),IF(OR($A102&lt;파라미터!$B$6,MOD($A102,파라미터!$B$6)&gt;=$B$3),0,INT(($B$3-MOD($A102,파라미터!$B$6)-1)/파라미터!$B$6)+1))</f>
        <v/>
      </c>
      <c r="C102" s="15">
        <f>MIN(파라미터!$B$15,파라미터!$B$5*(IF(B102&gt;=1,파라미터!$B$10,0)+IF(B102&gt;=2,파라미터!$B$11,0)+IF(B102&gt;=3,파라미터!$B$12,0)))</f>
        <v/>
      </c>
      <c r="D102" s="15">
        <f>((B102*파라미터!$B$5-파라미터!$B$5*(IF(B102&gt;=1,파라미터!$B$10,0)+IF(B102&gt;=2,파라미터!$B$11,0)+IF(B102&gt;=3,파라미터!$B$12,0)))+MAX(0,파라미터!$B$5*(IF(B102&gt;=1,파라미터!$B$10,0)+IF(B102&gt;=2,파라미터!$B$11,0)+IF(B102&gt;=3,파라미터!$B$12,0))-파라미터!$B$15))*파라미터!$B$16</f>
        <v/>
      </c>
      <c r="E102" s="15">
        <f>B102*파라미터!$B$7</f>
        <v/>
      </c>
      <c r="F102" s="15">
        <f>MAX(0,파라미터!$B$19+파라미터!$B$20-C102)</f>
        <v/>
      </c>
      <c r="G102" s="15">
        <f>IF(MOD($A102-1,파라미터!$B$22)=0,파라미터!$B$21,0)</f>
        <v/>
      </c>
      <c r="H102" s="15">
        <f>D102-E102-F102-G102</f>
        <v/>
      </c>
      <c r="I102" s="15">
        <f>MAX(0,I101+H102)</f>
        <v/>
      </c>
      <c r="J102" s="14">
        <f>B102*파라미터!$B$25</f>
        <v/>
      </c>
    </row>
    <row r="103">
      <c r="A103" s="14" t="n">
        <v>97</v>
      </c>
      <c r="B103" s="14">
        <f>IF($B$4=2,IF(AND(MOD($A103,파라미터!$B$6)=0,$A103&gt;=파라미터!$B$6),$B$3,0),IF(OR($A103&lt;파라미터!$B$6,MOD($A103,파라미터!$B$6)&gt;=$B$3),0,INT(($B$3-MOD($A103,파라미터!$B$6)-1)/파라미터!$B$6)+1))</f>
        <v/>
      </c>
      <c r="C103" s="15">
        <f>MIN(파라미터!$B$15,파라미터!$B$5*(IF(B103&gt;=1,파라미터!$B$10,0)+IF(B103&gt;=2,파라미터!$B$11,0)+IF(B103&gt;=3,파라미터!$B$12,0)))</f>
        <v/>
      </c>
      <c r="D103" s="15">
        <f>((B103*파라미터!$B$5-파라미터!$B$5*(IF(B103&gt;=1,파라미터!$B$10,0)+IF(B103&gt;=2,파라미터!$B$11,0)+IF(B103&gt;=3,파라미터!$B$12,0)))+MAX(0,파라미터!$B$5*(IF(B103&gt;=1,파라미터!$B$10,0)+IF(B103&gt;=2,파라미터!$B$11,0)+IF(B103&gt;=3,파라미터!$B$12,0))-파라미터!$B$15))*파라미터!$B$16</f>
        <v/>
      </c>
      <c r="E103" s="15">
        <f>B103*파라미터!$B$7</f>
        <v/>
      </c>
      <c r="F103" s="15">
        <f>MAX(0,파라미터!$B$19+파라미터!$B$20-C103)</f>
        <v/>
      </c>
      <c r="G103" s="15">
        <f>IF(MOD($A103-1,파라미터!$B$22)=0,파라미터!$B$21,0)</f>
        <v/>
      </c>
      <c r="H103" s="15">
        <f>D103-E103-F103-G103</f>
        <v/>
      </c>
      <c r="I103" s="15">
        <f>MAX(0,I102+H103)</f>
        <v/>
      </c>
      <c r="J103" s="14">
        <f>B103*파라미터!$B$25</f>
        <v/>
      </c>
    </row>
    <row r="104">
      <c r="A104" s="14" t="n">
        <v>98</v>
      </c>
      <c r="B104" s="14">
        <f>IF($B$4=2,IF(AND(MOD($A104,파라미터!$B$6)=0,$A104&gt;=파라미터!$B$6),$B$3,0),IF(OR($A104&lt;파라미터!$B$6,MOD($A104,파라미터!$B$6)&gt;=$B$3),0,INT(($B$3-MOD($A104,파라미터!$B$6)-1)/파라미터!$B$6)+1))</f>
        <v/>
      </c>
      <c r="C104" s="15">
        <f>MIN(파라미터!$B$15,파라미터!$B$5*(IF(B104&gt;=1,파라미터!$B$10,0)+IF(B104&gt;=2,파라미터!$B$11,0)+IF(B104&gt;=3,파라미터!$B$12,0)))</f>
        <v/>
      </c>
      <c r="D104" s="15">
        <f>((B104*파라미터!$B$5-파라미터!$B$5*(IF(B104&gt;=1,파라미터!$B$10,0)+IF(B104&gt;=2,파라미터!$B$11,0)+IF(B104&gt;=3,파라미터!$B$12,0)))+MAX(0,파라미터!$B$5*(IF(B104&gt;=1,파라미터!$B$10,0)+IF(B104&gt;=2,파라미터!$B$11,0)+IF(B104&gt;=3,파라미터!$B$12,0))-파라미터!$B$15))*파라미터!$B$16</f>
        <v/>
      </c>
      <c r="E104" s="15">
        <f>B104*파라미터!$B$7</f>
        <v/>
      </c>
      <c r="F104" s="15">
        <f>MAX(0,파라미터!$B$19+파라미터!$B$20-C104)</f>
        <v/>
      </c>
      <c r="G104" s="15">
        <f>IF(MOD($A104-1,파라미터!$B$22)=0,파라미터!$B$21,0)</f>
        <v/>
      </c>
      <c r="H104" s="15">
        <f>D104-E104-F104-G104</f>
        <v/>
      </c>
      <c r="I104" s="15">
        <f>MAX(0,I103+H104)</f>
        <v/>
      </c>
      <c r="J104" s="14">
        <f>B104*파라미터!$B$25</f>
        <v/>
      </c>
    </row>
    <row r="105">
      <c r="A105" s="14" t="n">
        <v>99</v>
      </c>
      <c r="B105" s="14">
        <f>IF($B$4=2,IF(AND(MOD($A105,파라미터!$B$6)=0,$A105&gt;=파라미터!$B$6),$B$3,0),IF(OR($A105&lt;파라미터!$B$6,MOD($A105,파라미터!$B$6)&gt;=$B$3),0,INT(($B$3-MOD($A105,파라미터!$B$6)-1)/파라미터!$B$6)+1))</f>
        <v/>
      </c>
      <c r="C105" s="15">
        <f>MIN(파라미터!$B$15,파라미터!$B$5*(IF(B105&gt;=1,파라미터!$B$10,0)+IF(B105&gt;=2,파라미터!$B$11,0)+IF(B105&gt;=3,파라미터!$B$12,0)))</f>
        <v/>
      </c>
      <c r="D105" s="15">
        <f>((B105*파라미터!$B$5-파라미터!$B$5*(IF(B105&gt;=1,파라미터!$B$10,0)+IF(B105&gt;=2,파라미터!$B$11,0)+IF(B105&gt;=3,파라미터!$B$12,0)))+MAX(0,파라미터!$B$5*(IF(B105&gt;=1,파라미터!$B$10,0)+IF(B105&gt;=2,파라미터!$B$11,0)+IF(B105&gt;=3,파라미터!$B$12,0))-파라미터!$B$15))*파라미터!$B$16</f>
        <v/>
      </c>
      <c r="E105" s="15">
        <f>B105*파라미터!$B$7</f>
        <v/>
      </c>
      <c r="F105" s="15">
        <f>MAX(0,파라미터!$B$19+파라미터!$B$20-C105)</f>
        <v/>
      </c>
      <c r="G105" s="15">
        <f>IF(MOD($A105-1,파라미터!$B$22)=0,파라미터!$B$21,0)</f>
        <v/>
      </c>
      <c r="H105" s="15">
        <f>D105-E105-F105-G105</f>
        <v/>
      </c>
      <c r="I105" s="15">
        <f>MAX(0,I104+H105)</f>
        <v/>
      </c>
      <c r="J105" s="14">
        <f>B105*파라미터!$B$25</f>
        <v/>
      </c>
    </row>
    <row r="106">
      <c r="A106" s="14" t="n">
        <v>100</v>
      </c>
      <c r="B106" s="14">
        <f>IF($B$4=2,IF(AND(MOD($A106,파라미터!$B$6)=0,$A106&gt;=파라미터!$B$6),$B$3,0),IF(OR($A106&lt;파라미터!$B$6,MOD($A106,파라미터!$B$6)&gt;=$B$3),0,INT(($B$3-MOD($A106,파라미터!$B$6)-1)/파라미터!$B$6)+1))</f>
        <v/>
      </c>
      <c r="C106" s="15">
        <f>MIN(파라미터!$B$15,파라미터!$B$5*(IF(B106&gt;=1,파라미터!$B$10,0)+IF(B106&gt;=2,파라미터!$B$11,0)+IF(B106&gt;=3,파라미터!$B$12,0)))</f>
        <v/>
      </c>
      <c r="D106" s="15">
        <f>((B106*파라미터!$B$5-파라미터!$B$5*(IF(B106&gt;=1,파라미터!$B$10,0)+IF(B106&gt;=2,파라미터!$B$11,0)+IF(B106&gt;=3,파라미터!$B$12,0)))+MAX(0,파라미터!$B$5*(IF(B106&gt;=1,파라미터!$B$10,0)+IF(B106&gt;=2,파라미터!$B$11,0)+IF(B106&gt;=3,파라미터!$B$12,0))-파라미터!$B$15))*파라미터!$B$16</f>
        <v/>
      </c>
      <c r="E106" s="15">
        <f>B106*파라미터!$B$7</f>
        <v/>
      </c>
      <c r="F106" s="15">
        <f>MAX(0,파라미터!$B$19+파라미터!$B$20-C106)</f>
        <v/>
      </c>
      <c r="G106" s="15">
        <f>IF(MOD($A106-1,파라미터!$B$22)=0,파라미터!$B$21,0)</f>
        <v/>
      </c>
      <c r="H106" s="15">
        <f>D106-E106-F106-G106</f>
        <v/>
      </c>
      <c r="I106" s="15">
        <f>MAX(0,I105+H106)</f>
        <v/>
      </c>
      <c r="J106" s="14">
        <f>B106*파라미터!$B$25</f>
        <v/>
      </c>
    </row>
    <row r="107">
      <c r="A107" s="14" t="n">
        <v>101</v>
      </c>
      <c r="B107" s="14">
        <f>IF($B$4=2,IF(AND(MOD($A107,파라미터!$B$6)=0,$A107&gt;=파라미터!$B$6),$B$3,0),IF(OR($A107&lt;파라미터!$B$6,MOD($A107,파라미터!$B$6)&gt;=$B$3),0,INT(($B$3-MOD($A107,파라미터!$B$6)-1)/파라미터!$B$6)+1))</f>
        <v/>
      </c>
      <c r="C107" s="15">
        <f>MIN(파라미터!$B$15,파라미터!$B$5*(IF(B107&gt;=1,파라미터!$B$10,0)+IF(B107&gt;=2,파라미터!$B$11,0)+IF(B107&gt;=3,파라미터!$B$12,0)))</f>
        <v/>
      </c>
      <c r="D107" s="15">
        <f>((B107*파라미터!$B$5-파라미터!$B$5*(IF(B107&gt;=1,파라미터!$B$10,0)+IF(B107&gt;=2,파라미터!$B$11,0)+IF(B107&gt;=3,파라미터!$B$12,0)))+MAX(0,파라미터!$B$5*(IF(B107&gt;=1,파라미터!$B$10,0)+IF(B107&gt;=2,파라미터!$B$11,0)+IF(B107&gt;=3,파라미터!$B$12,0))-파라미터!$B$15))*파라미터!$B$16</f>
        <v/>
      </c>
      <c r="E107" s="15">
        <f>B107*파라미터!$B$7</f>
        <v/>
      </c>
      <c r="F107" s="15">
        <f>MAX(0,파라미터!$B$19+파라미터!$B$20-C107)</f>
        <v/>
      </c>
      <c r="G107" s="15">
        <f>IF(MOD($A107-1,파라미터!$B$22)=0,파라미터!$B$21,0)</f>
        <v/>
      </c>
      <c r="H107" s="15">
        <f>D107-E107-F107-G107</f>
        <v/>
      </c>
      <c r="I107" s="15">
        <f>MAX(0,I106+H107)</f>
        <v/>
      </c>
      <c r="J107" s="14">
        <f>B107*파라미터!$B$25</f>
        <v/>
      </c>
    </row>
    <row r="108">
      <c r="A108" s="14" t="n">
        <v>102</v>
      </c>
      <c r="B108" s="14">
        <f>IF($B$4=2,IF(AND(MOD($A108,파라미터!$B$6)=0,$A108&gt;=파라미터!$B$6),$B$3,0),IF(OR($A108&lt;파라미터!$B$6,MOD($A108,파라미터!$B$6)&gt;=$B$3),0,INT(($B$3-MOD($A108,파라미터!$B$6)-1)/파라미터!$B$6)+1))</f>
        <v/>
      </c>
      <c r="C108" s="15">
        <f>MIN(파라미터!$B$15,파라미터!$B$5*(IF(B108&gt;=1,파라미터!$B$10,0)+IF(B108&gt;=2,파라미터!$B$11,0)+IF(B108&gt;=3,파라미터!$B$12,0)))</f>
        <v/>
      </c>
      <c r="D108" s="15">
        <f>((B108*파라미터!$B$5-파라미터!$B$5*(IF(B108&gt;=1,파라미터!$B$10,0)+IF(B108&gt;=2,파라미터!$B$11,0)+IF(B108&gt;=3,파라미터!$B$12,0)))+MAX(0,파라미터!$B$5*(IF(B108&gt;=1,파라미터!$B$10,0)+IF(B108&gt;=2,파라미터!$B$11,0)+IF(B108&gt;=3,파라미터!$B$12,0))-파라미터!$B$15))*파라미터!$B$16</f>
        <v/>
      </c>
      <c r="E108" s="15">
        <f>B108*파라미터!$B$7</f>
        <v/>
      </c>
      <c r="F108" s="15">
        <f>MAX(0,파라미터!$B$19+파라미터!$B$20-C108)</f>
        <v/>
      </c>
      <c r="G108" s="15">
        <f>IF(MOD($A108-1,파라미터!$B$22)=0,파라미터!$B$21,0)</f>
        <v/>
      </c>
      <c r="H108" s="15">
        <f>D108-E108-F108-G108</f>
        <v/>
      </c>
      <c r="I108" s="15">
        <f>MAX(0,I107+H108)</f>
        <v/>
      </c>
      <c r="J108" s="14">
        <f>B108*파라미터!$B$25</f>
        <v/>
      </c>
    </row>
    <row r="109">
      <c r="A109" s="14" t="n">
        <v>103</v>
      </c>
      <c r="B109" s="14">
        <f>IF($B$4=2,IF(AND(MOD($A109,파라미터!$B$6)=0,$A109&gt;=파라미터!$B$6),$B$3,0),IF(OR($A109&lt;파라미터!$B$6,MOD($A109,파라미터!$B$6)&gt;=$B$3),0,INT(($B$3-MOD($A109,파라미터!$B$6)-1)/파라미터!$B$6)+1))</f>
        <v/>
      </c>
      <c r="C109" s="15">
        <f>MIN(파라미터!$B$15,파라미터!$B$5*(IF(B109&gt;=1,파라미터!$B$10,0)+IF(B109&gt;=2,파라미터!$B$11,0)+IF(B109&gt;=3,파라미터!$B$12,0)))</f>
        <v/>
      </c>
      <c r="D109" s="15">
        <f>((B109*파라미터!$B$5-파라미터!$B$5*(IF(B109&gt;=1,파라미터!$B$10,0)+IF(B109&gt;=2,파라미터!$B$11,0)+IF(B109&gt;=3,파라미터!$B$12,0)))+MAX(0,파라미터!$B$5*(IF(B109&gt;=1,파라미터!$B$10,0)+IF(B109&gt;=2,파라미터!$B$11,0)+IF(B109&gt;=3,파라미터!$B$12,0))-파라미터!$B$15))*파라미터!$B$16</f>
        <v/>
      </c>
      <c r="E109" s="15">
        <f>B109*파라미터!$B$7</f>
        <v/>
      </c>
      <c r="F109" s="15">
        <f>MAX(0,파라미터!$B$19+파라미터!$B$20-C109)</f>
        <v/>
      </c>
      <c r="G109" s="15">
        <f>IF(MOD($A109-1,파라미터!$B$22)=0,파라미터!$B$21,0)</f>
        <v/>
      </c>
      <c r="H109" s="15">
        <f>D109-E109-F109-G109</f>
        <v/>
      </c>
      <c r="I109" s="15">
        <f>MAX(0,I108+H109)</f>
        <v/>
      </c>
      <c r="J109" s="14">
        <f>B109*파라미터!$B$25</f>
        <v/>
      </c>
    </row>
    <row r="110">
      <c r="A110" s="14" t="n">
        <v>104</v>
      </c>
      <c r="B110" s="14">
        <f>IF($B$4=2,IF(AND(MOD($A110,파라미터!$B$6)=0,$A110&gt;=파라미터!$B$6),$B$3,0),IF(OR($A110&lt;파라미터!$B$6,MOD($A110,파라미터!$B$6)&gt;=$B$3),0,INT(($B$3-MOD($A110,파라미터!$B$6)-1)/파라미터!$B$6)+1))</f>
        <v/>
      </c>
      <c r="C110" s="15">
        <f>MIN(파라미터!$B$15,파라미터!$B$5*(IF(B110&gt;=1,파라미터!$B$10,0)+IF(B110&gt;=2,파라미터!$B$11,0)+IF(B110&gt;=3,파라미터!$B$12,0)))</f>
        <v/>
      </c>
      <c r="D110" s="15">
        <f>((B110*파라미터!$B$5-파라미터!$B$5*(IF(B110&gt;=1,파라미터!$B$10,0)+IF(B110&gt;=2,파라미터!$B$11,0)+IF(B110&gt;=3,파라미터!$B$12,0)))+MAX(0,파라미터!$B$5*(IF(B110&gt;=1,파라미터!$B$10,0)+IF(B110&gt;=2,파라미터!$B$11,0)+IF(B110&gt;=3,파라미터!$B$12,0))-파라미터!$B$15))*파라미터!$B$16</f>
        <v/>
      </c>
      <c r="E110" s="15">
        <f>B110*파라미터!$B$7</f>
        <v/>
      </c>
      <c r="F110" s="15">
        <f>MAX(0,파라미터!$B$19+파라미터!$B$20-C110)</f>
        <v/>
      </c>
      <c r="G110" s="15">
        <f>IF(MOD($A110-1,파라미터!$B$22)=0,파라미터!$B$21,0)</f>
        <v/>
      </c>
      <c r="H110" s="15">
        <f>D110-E110-F110-G110</f>
        <v/>
      </c>
      <c r="I110" s="15">
        <f>MAX(0,I109+H110)</f>
        <v/>
      </c>
      <c r="J110" s="14">
        <f>B110*파라미터!$B$25</f>
        <v/>
      </c>
    </row>
    <row r="111">
      <c r="A111" s="14" t="n">
        <v>105</v>
      </c>
      <c r="B111" s="14">
        <f>IF($B$4=2,IF(AND(MOD($A111,파라미터!$B$6)=0,$A111&gt;=파라미터!$B$6),$B$3,0),IF(OR($A111&lt;파라미터!$B$6,MOD($A111,파라미터!$B$6)&gt;=$B$3),0,INT(($B$3-MOD($A111,파라미터!$B$6)-1)/파라미터!$B$6)+1))</f>
        <v/>
      </c>
      <c r="C111" s="15">
        <f>MIN(파라미터!$B$15,파라미터!$B$5*(IF(B111&gt;=1,파라미터!$B$10,0)+IF(B111&gt;=2,파라미터!$B$11,0)+IF(B111&gt;=3,파라미터!$B$12,0)))</f>
        <v/>
      </c>
      <c r="D111" s="15">
        <f>((B111*파라미터!$B$5-파라미터!$B$5*(IF(B111&gt;=1,파라미터!$B$10,0)+IF(B111&gt;=2,파라미터!$B$11,0)+IF(B111&gt;=3,파라미터!$B$12,0)))+MAX(0,파라미터!$B$5*(IF(B111&gt;=1,파라미터!$B$10,0)+IF(B111&gt;=2,파라미터!$B$11,0)+IF(B111&gt;=3,파라미터!$B$12,0))-파라미터!$B$15))*파라미터!$B$16</f>
        <v/>
      </c>
      <c r="E111" s="15">
        <f>B111*파라미터!$B$7</f>
        <v/>
      </c>
      <c r="F111" s="15">
        <f>MAX(0,파라미터!$B$19+파라미터!$B$20-C111)</f>
        <v/>
      </c>
      <c r="G111" s="15">
        <f>IF(MOD($A111-1,파라미터!$B$22)=0,파라미터!$B$21,0)</f>
        <v/>
      </c>
      <c r="H111" s="15">
        <f>D111-E111-F111-G111</f>
        <v/>
      </c>
      <c r="I111" s="15">
        <f>MAX(0,I110+H111)</f>
        <v/>
      </c>
      <c r="J111" s="14">
        <f>B111*파라미터!$B$25</f>
        <v/>
      </c>
    </row>
    <row r="112">
      <c r="A112" s="14" t="n">
        <v>106</v>
      </c>
      <c r="B112" s="14">
        <f>IF($B$4=2,IF(AND(MOD($A112,파라미터!$B$6)=0,$A112&gt;=파라미터!$B$6),$B$3,0),IF(OR($A112&lt;파라미터!$B$6,MOD($A112,파라미터!$B$6)&gt;=$B$3),0,INT(($B$3-MOD($A112,파라미터!$B$6)-1)/파라미터!$B$6)+1))</f>
        <v/>
      </c>
      <c r="C112" s="15">
        <f>MIN(파라미터!$B$15,파라미터!$B$5*(IF(B112&gt;=1,파라미터!$B$10,0)+IF(B112&gt;=2,파라미터!$B$11,0)+IF(B112&gt;=3,파라미터!$B$12,0)))</f>
        <v/>
      </c>
      <c r="D112" s="15">
        <f>((B112*파라미터!$B$5-파라미터!$B$5*(IF(B112&gt;=1,파라미터!$B$10,0)+IF(B112&gt;=2,파라미터!$B$11,0)+IF(B112&gt;=3,파라미터!$B$12,0)))+MAX(0,파라미터!$B$5*(IF(B112&gt;=1,파라미터!$B$10,0)+IF(B112&gt;=2,파라미터!$B$11,0)+IF(B112&gt;=3,파라미터!$B$12,0))-파라미터!$B$15))*파라미터!$B$16</f>
        <v/>
      </c>
      <c r="E112" s="15">
        <f>B112*파라미터!$B$7</f>
        <v/>
      </c>
      <c r="F112" s="15">
        <f>MAX(0,파라미터!$B$19+파라미터!$B$20-C112)</f>
        <v/>
      </c>
      <c r="G112" s="15">
        <f>IF(MOD($A112-1,파라미터!$B$22)=0,파라미터!$B$21,0)</f>
        <v/>
      </c>
      <c r="H112" s="15">
        <f>D112-E112-F112-G112</f>
        <v/>
      </c>
      <c r="I112" s="15">
        <f>MAX(0,I111+H112)</f>
        <v/>
      </c>
      <c r="J112" s="14">
        <f>B112*파라미터!$B$25</f>
        <v/>
      </c>
    </row>
    <row r="113">
      <c r="A113" s="14" t="n">
        <v>107</v>
      </c>
      <c r="B113" s="14">
        <f>IF($B$4=2,IF(AND(MOD($A113,파라미터!$B$6)=0,$A113&gt;=파라미터!$B$6),$B$3,0),IF(OR($A113&lt;파라미터!$B$6,MOD($A113,파라미터!$B$6)&gt;=$B$3),0,INT(($B$3-MOD($A113,파라미터!$B$6)-1)/파라미터!$B$6)+1))</f>
        <v/>
      </c>
      <c r="C113" s="15">
        <f>MIN(파라미터!$B$15,파라미터!$B$5*(IF(B113&gt;=1,파라미터!$B$10,0)+IF(B113&gt;=2,파라미터!$B$11,0)+IF(B113&gt;=3,파라미터!$B$12,0)))</f>
        <v/>
      </c>
      <c r="D113" s="15">
        <f>((B113*파라미터!$B$5-파라미터!$B$5*(IF(B113&gt;=1,파라미터!$B$10,0)+IF(B113&gt;=2,파라미터!$B$11,0)+IF(B113&gt;=3,파라미터!$B$12,0)))+MAX(0,파라미터!$B$5*(IF(B113&gt;=1,파라미터!$B$10,0)+IF(B113&gt;=2,파라미터!$B$11,0)+IF(B113&gt;=3,파라미터!$B$12,0))-파라미터!$B$15))*파라미터!$B$16</f>
        <v/>
      </c>
      <c r="E113" s="15">
        <f>B113*파라미터!$B$7</f>
        <v/>
      </c>
      <c r="F113" s="15">
        <f>MAX(0,파라미터!$B$19+파라미터!$B$20-C113)</f>
        <v/>
      </c>
      <c r="G113" s="15">
        <f>IF(MOD($A113-1,파라미터!$B$22)=0,파라미터!$B$21,0)</f>
        <v/>
      </c>
      <c r="H113" s="15">
        <f>D113-E113-F113-G113</f>
        <v/>
      </c>
      <c r="I113" s="15">
        <f>MAX(0,I112+H113)</f>
        <v/>
      </c>
      <c r="J113" s="14">
        <f>B113*파라미터!$B$25</f>
        <v/>
      </c>
    </row>
    <row r="114">
      <c r="A114" s="14" t="n">
        <v>108</v>
      </c>
      <c r="B114" s="14">
        <f>IF($B$4=2,IF(AND(MOD($A114,파라미터!$B$6)=0,$A114&gt;=파라미터!$B$6),$B$3,0),IF(OR($A114&lt;파라미터!$B$6,MOD($A114,파라미터!$B$6)&gt;=$B$3),0,INT(($B$3-MOD($A114,파라미터!$B$6)-1)/파라미터!$B$6)+1))</f>
        <v/>
      </c>
      <c r="C114" s="15">
        <f>MIN(파라미터!$B$15,파라미터!$B$5*(IF(B114&gt;=1,파라미터!$B$10,0)+IF(B114&gt;=2,파라미터!$B$11,0)+IF(B114&gt;=3,파라미터!$B$12,0)))</f>
        <v/>
      </c>
      <c r="D114" s="15">
        <f>((B114*파라미터!$B$5-파라미터!$B$5*(IF(B114&gt;=1,파라미터!$B$10,0)+IF(B114&gt;=2,파라미터!$B$11,0)+IF(B114&gt;=3,파라미터!$B$12,0)))+MAX(0,파라미터!$B$5*(IF(B114&gt;=1,파라미터!$B$10,0)+IF(B114&gt;=2,파라미터!$B$11,0)+IF(B114&gt;=3,파라미터!$B$12,0))-파라미터!$B$15))*파라미터!$B$16</f>
        <v/>
      </c>
      <c r="E114" s="15">
        <f>B114*파라미터!$B$7</f>
        <v/>
      </c>
      <c r="F114" s="15">
        <f>MAX(0,파라미터!$B$19+파라미터!$B$20-C114)</f>
        <v/>
      </c>
      <c r="G114" s="15">
        <f>IF(MOD($A114-1,파라미터!$B$22)=0,파라미터!$B$21,0)</f>
        <v/>
      </c>
      <c r="H114" s="15">
        <f>D114-E114-F114-G114</f>
        <v/>
      </c>
      <c r="I114" s="15">
        <f>MAX(0,I113+H114)</f>
        <v/>
      </c>
      <c r="J114" s="14">
        <f>B114*파라미터!$B$25</f>
        <v/>
      </c>
    </row>
    <row r="115">
      <c r="A115" s="14" t="n">
        <v>109</v>
      </c>
      <c r="B115" s="14">
        <f>IF($B$4=2,IF(AND(MOD($A115,파라미터!$B$6)=0,$A115&gt;=파라미터!$B$6),$B$3,0),IF(OR($A115&lt;파라미터!$B$6,MOD($A115,파라미터!$B$6)&gt;=$B$3),0,INT(($B$3-MOD($A115,파라미터!$B$6)-1)/파라미터!$B$6)+1))</f>
        <v/>
      </c>
      <c r="C115" s="15">
        <f>MIN(파라미터!$B$15,파라미터!$B$5*(IF(B115&gt;=1,파라미터!$B$10,0)+IF(B115&gt;=2,파라미터!$B$11,0)+IF(B115&gt;=3,파라미터!$B$12,0)))</f>
        <v/>
      </c>
      <c r="D115" s="15">
        <f>((B115*파라미터!$B$5-파라미터!$B$5*(IF(B115&gt;=1,파라미터!$B$10,0)+IF(B115&gt;=2,파라미터!$B$11,0)+IF(B115&gt;=3,파라미터!$B$12,0)))+MAX(0,파라미터!$B$5*(IF(B115&gt;=1,파라미터!$B$10,0)+IF(B115&gt;=2,파라미터!$B$11,0)+IF(B115&gt;=3,파라미터!$B$12,0))-파라미터!$B$15))*파라미터!$B$16</f>
        <v/>
      </c>
      <c r="E115" s="15">
        <f>B115*파라미터!$B$7</f>
        <v/>
      </c>
      <c r="F115" s="15">
        <f>MAX(0,파라미터!$B$19+파라미터!$B$20-C115)</f>
        <v/>
      </c>
      <c r="G115" s="15">
        <f>IF(MOD($A115-1,파라미터!$B$22)=0,파라미터!$B$21,0)</f>
        <v/>
      </c>
      <c r="H115" s="15">
        <f>D115-E115-F115-G115</f>
        <v/>
      </c>
      <c r="I115" s="15">
        <f>MAX(0,I114+H115)</f>
        <v/>
      </c>
      <c r="J115" s="14">
        <f>B115*파라미터!$B$25</f>
        <v/>
      </c>
    </row>
    <row r="116">
      <c r="A116" s="14" t="n">
        <v>110</v>
      </c>
      <c r="B116" s="14">
        <f>IF($B$4=2,IF(AND(MOD($A116,파라미터!$B$6)=0,$A116&gt;=파라미터!$B$6),$B$3,0),IF(OR($A116&lt;파라미터!$B$6,MOD($A116,파라미터!$B$6)&gt;=$B$3),0,INT(($B$3-MOD($A116,파라미터!$B$6)-1)/파라미터!$B$6)+1))</f>
        <v/>
      </c>
      <c r="C116" s="15">
        <f>MIN(파라미터!$B$15,파라미터!$B$5*(IF(B116&gt;=1,파라미터!$B$10,0)+IF(B116&gt;=2,파라미터!$B$11,0)+IF(B116&gt;=3,파라미터!$B$12,0)))</f>
        <v/>
      </c>
      <c r="D116" s="15">
        <f>((B116*파라미터!$B$5-파라미터!$B$5*(IF(B116&gt;=1,파라미터!$B$10,0)+IF(B116&gt;=2,파라미터!$B$11,0)+IF(B116&gt;=3,파라미터!$B$12,0)))+MAX(0,파라미터!$B$5*(IF(B116&gt;=1,파라미터!$B$10,0)+IF(B116&gt;=2,파라미터!$B$11,0)+IF(B116&gt;=3,파라미터!$B$12,0))-파라미터!$B$15))*파라미터!$B$16</f>
        <v/>
      </c>
      <c r="E116" s="15">
        <f>B116*파라미터!$B$7</f>
        <v/>
      </c>
      <c r="F116" s="15">
        <f>MAX(0,파라미터!$B$19+파라미터!$B$20-C116)</f>
        <v/>
      </c>
      <c r="G116" s="15">
        <f>IF(MOD($A116-1,파라미터!$B$22)=0,파라미터!$B$21,0)</f>
        <v/>
      </c>
      <c r="H116" s="15">
        <f>D116-E116-F116-G116</f>
        <v/>
      </c>
      <c r="I116" s="15">
        <f>MAX(0,I115+H116)</f>
        <v/>
      </c>
      <c r="J116" s="14">
        <f>B116*파라미터!$B$25</f>
        <v/>
      </c>
    </row>
    <row r="117">
      <c r="A117" s="14" t="n">
        <v>111</v>
      </c>
      <c r="B117" s="14">
        <f>IF($B$4=2,IF(AND(MOD($A117,파라미터!$B$6)=0,$A117&gt;=파라미터!$B$6),$B$3,0),IF(OR($A117&lt;파라미터!$B$6,MOD($A117,파라미터!$B$6)&gt;=$B$3),0,INT(($B$3-MOD($A117,파라미터!$B$6)-1)/파라미터!$B$6)+1))</f>
        <v/>
      </c>
      <c r="C117" s="15">
        <f>MIN(파라미터!$B$15,파라미터!$B$5*(IF(B117&gt;=1,파라미터!$B$10,0)+IF(B117&gt;=2,파라미터!$B$11,0)+IF(B117&gt;=3,파라미터!$B$12,0)))</f>
        <v/>
      </c>
      <c r="D117" s="15">
        <f>((B117*파라미터!$B$5-파라미터!$B$5*(IF(B117&gt;=1,파라미터!$B$10,0)+IF(B117&gt;=2,파라미터!$B$11,0)+IF(B117&gt;=3,파라미터!$B$12,0)))+MAX(0,파라미터!$B$5*(IF(B117&gt;=1,파라미터!$B$10,0)+IF(B117&gt;=2,파라미터!$B$11,0)+IF(B117&gt;=3,파라미터!$B$12,0))-파라미터!$B$15))*파라미터!$B$16</f>
        <v/>
      </c>
      <c r="E117" s="15">
        <f>B117*파라미터!$B$7</f>
        <v/>
      </c>
      <c r="F117" s="15">
        <f>MAX(0,파라미터!$B$19+파라미터!$B$20-C117)</f>
        <v/>
      </c>
      <c r="G117" s="15">
        <f>IF(MOD($A117-1,파라미터!$B$22)=0,파라미터!$B$21,0)</f>
        <v/>
      </c>
      <c r="H117" s="15">
        <f>D117-E117-F117-G117</f>
        <v/>
      </c>
      <c r="I117" s="15">
        <f>MAX(0,I116+H117)</f>
        <v/>
      </c>
      <c r="J117" s="14">
        <f>B117*파라미터!$B$25</f>
        <v/>
      </c>
    </row>
    <row r="118">
      <c r="A118" s="14" t="n">
        <v>112</v>
      </c>
      <c r="B118" s="14">
        <f>IF($B$4=2,IF(AND(MOD($A118,파라미터!$B$6)=0,$A118&gt;=파라미터!$B$6),$B$3,0),IF(OR($A118&lt;파라미터!$B$6,MOD($A118,파라미터!$B$6)&gt;=$B$3),0,INT(($B$3-MOD($A118,파라미터!$B$6)-1)/파라미터!$B$6)+1))</f>
        <v/>
      </c>
      <c r="C118" s="15">
        <f>MIN(파라미터!$B$15,파라미터!$B$5*(IF(B118&gt;=1,파라미터!$B$10,0)+IF(B118&gt;=2,파라미터!$B$11,0)+IF(B118&gt;=3,파라미터!$B$12,0)))</f>
        <v/>
      </c>
      <c r="D118" s="15">
        <f>((B118*파라미터!$B$5-파라미터!$B$5*(IF(B118&gt;=1,파라미터!$B$10,0)+IF(B118&gt;=2,파라미터!$B$11,0)+IF(B118&gt;=3,파라미터!$B$12,0)))+MAX(0,파라미터!$B$5*(IF(B118&gt;=1,파라미터!$B$10,0)+IF(B118&gt;=2,파라미터!$B$11,0)+IF(B118&gt;=3,파라미터!$B$12,0))-파라미터!$B$15))*파라미터!$B$16</f>
        <v/>
      </c>
      <c r="E118" s="15">
        <f>B118*파라미터!$B$7</f>
        <v/>
      </c>
      <c r="F118" s="15">
        <f>MAX(0,파라미터!$B$19+파라미터!$B$20-C118)</f>
        <v/>
      </c>
      <c r="G118" s="15">
        <f>IF(MOD($A118-1,파라미터!$B$22)=0,파라미터!$B$21,0)</f>
        <v/>
      </c>
      <c r="H118" s="15">
        <f>D118-E118-F118-G118</f>
        <v/>
      </c>
      <c r="I118" s="15">
        <f>MAX(0,I117+H118)</f>
        <v/>
      </c>
      <c r="J118" s="14">
        <f>B118*파라미터!$B$25</f>
        <v/>
      </c>
    </row>
    <row r="119">
      <c r="A119" s="14" t="n">
        <v>113</v>
      </c>
      <c r="B119" s="14">
        <f>IF($B$4=2,IF(AND(MOD($A119,파라미터!$B$6)=0,$A119&gt;=파라미터!$B$6),$B$3,0),IF(OR($A119&lt;파라미터!$B$6,MOD($A119,파라미터!$B$6)&gt;=$B$3),0,INT(($B$3-MOD($A119,파라미터!$B$6)-1)/파라미터!$B$6)+1))</f>
        <v/>
      </c>
      <c r="C119" s="15">
        <f>MIN(파라미터!$B$15,파라미터!$B$5*(IF(B119&gt;=1,파라미터!$B$10,0)+IF(B119&gt;=2,파라미터!$B$11,0)+IF(B119&gt;=3,파라미터!$B$12,0)))</f>
        <v/>
      </c>
      <c r="D119" s="15">
        <f>((B119*파라미터!$B$5-파라미터!$B$5*(IF(B119&gt;=1,파라미터!$B$10,0)+IF(B119&gt;=2,파라미터!$B$11,0)+IF(B119&gt;=3,파라미터!$B$12,0)))+MAX(0,파라미터!$B$5*(IF(B119&gt;=1,파라미터!$B$10,0)+IF(B119&gt;=2,파라미터!$B$11,0)+IF(B119&gt;=3,파라미터!$B$12,0))-파라미터!$B$15))*파라미터!$B$16</f>
        <v/>
      </c>
      <c r="E119" s="15">
        <f>B119*파라미터!$B$7</f>
        <v/>
      </c>
      <c r="F119" s="15">
        <f>MAX(0,파라미터!$B$19+파라미터!$B$20-C119)</f>
        <v/>
      </c>
      <c r="G119" s="15">
        <f>IF(MOD($A119-1,파라미터!$B$22)=0,파라미터!$B$21,0)</f>
        <v/>
      </c>
      <c r="H119" s="15">
        <f>D119-E119-F119-G119</f>
        <v/>
      </c>
      <c r="I119" s="15">
        <f>MAX(0,I118+H119)</f>
        <v/>
      </c>
      <c r="J119" s="14">
        <f>B119*파라미터!$B$25</f>
        <v/>
      </c>
    </row>
    <row r="120">
      <c r="A120" s="14" t="n">
        <v>114</v>
      </c>
      <c r="B120" s="14">
        <f>IF($B$4=2,IF(AND(MOD($A120,파라미터!$B$6)=0,$A120&gt;=파라미터!$B$6),$B$3,0),IF(OR($A120&lt;파라미터!$B$6,MOD($A120,파라미터!$B$6)&gt;=$B$3),0,INT(($B$3-MOD($A120,파라미터!$B$6)-1)/파라미터!$B$6)+1))</f>
        <v/>
      </c>
      <c r="C120" s="15">
        <f>MIN(파라미터!$B$15,파라미터!$B$5*(IF(B120&gt;=1,파라미터!$B$10,0)+IF(B120&gt;=2,파라미터!$B$11,0)+IF(B120&gt;=3,파라미터!$B$12,0)))</f>
        <v/>
      </c>
      <c r="D120" s="15">
        <f>((B120*파라미터!$B$5-파라미터!$B$5*(IF(B120&gt;=1,파라미터!$B$10,0)+IF(B120&gt;=2,파라미터!$B$11,0)+IF(B120&gt;=3,파라미터!$B$12,0)))+MAX(0,파라미터!$B$5*(IF(B120&gt;=1,파라미터!$B$10,0)+IF(B120&gt;=2,파라미터!$B$11,0)+IF(B120&gt;=3,파라미터!$B$12,0))-파라미터!$B$15))*파라미터!$B$16</f>
        <v/>
      </c>
      <c r="E120" s="15">
        <f>B120*파라미터!$B$7</f>
        <v/>
      </c>
      <c r="F120" s="15">
        <f>MAX(0,파라미터!$B$19+파라미터!$B$20-C120)</f>
        <v/>
      </c>
      <c r="G120" s="15">
        <f>IF(MOD($A120-1,파라미터!$B$22)=0,파라미터!$B$21,0)</f>
        <v/>
      </c>
      <c r="H120" s="15">
        <f>D120-E120-F120-G120</f>
        <v/>
      </c>
      <c r="I120" s="15">
        <f>MAX(0,I119+H120)</f>
        <v/>
      </c>
      <c r="J120" s="14">
        <f>B120*파라미터!$B$25</f>
        <v/>
      </c>
    </row>
    <row r="121">
      <c r="A121" s="14" t="n">
        <v>115</v>
      </c>
      <c r="B121" s="14">
        <f>IF($B$4=2,IF(AND(MOD($A121,파라미터!$B$6)=0,$A121&gt;=파라미터!$B$6),$B$3,0),IF(OR($A121&lt;파라미터!$B$6,MOD($A121,파라미터!$B$6)&gt;=$B$3),0,INT(($B$3-MOD($A121,파라미터!$B$6)-1)/파라미터!$B$6)+1))</f>
        <v/>
      </c>
      <c r="C121" s="15">
        <f>MIN(파라미터!$B$15,파라미터!$B$5*(IF(B121&gt;=1,파라미터!$B$10,0)+IF(B121&gt;=2,파라미터!$B$11,0)+IF(B121&gt;=3,파라미터!$B$12,0)))</f>
        <v/>
      </c>
      <c r="D121" s="15">
        <f>((B121*파라미터!$B$5-파라미터!$B$5*(IF(B121&gt;=1,파라미터!$B$10,0)+IF(B121&gt;=2,파라미터!$B$11,0)+IF(B121&gt;=3,파라미터!$B$12,0)))+MAX(0,파라미터!$B$5*(IF(B121&gt;=1,파라미터!$B$10,0)+IF(B121&gt;=2,파라미터!$B$11,0)+IF(B121&gt;=3,파라미터!$B$12,0))-파라미터!$B$15))*파라미터!$B$16</f>
        <v/>
      </c>
      <c r="E121" s="15">
        <f>B121*파라미터!$B$7</f>
        <v/>
      </c>
      <c r="F121" s="15">
        <f>MAX(0,파라미터!$B$19+파라미터!$B$20-C121)</f>
        <v/>
      </c>
      <c r="G121" s="15">
        <f>IF(MOD($A121-1,파라미터!$B$22)=0,파라미터!$B$21,0)</f>
        <v/>
      </c>
      <c r="H121" s="15">
        <f>D121-E121-F121-G121</f>
        <v/>
      </c>
      <c r="I121" s="15">
        <f>MAX(0,I120+H121)</f>
        <v/>
      </c>
      <c r="J121" s="14">
        <f>B121*파라미터!$B$25</f>
        <v/>
      </c>
    </row>
    <row r="122">
      <c r="A122" s="14" t="n">
        <v>116</v>
      </c>
      <c r="B122" s="14">
        <f>IF($B$4=2,IF(AND(MOD($A122,파라미터!$B$6)=0,$A122&gt;=파라미터!$B$6),$B$3,0),IF(OR($A122&lt;파라미터!$B$6,MOD($A122,파라미터!$B$6)&gt;=$B$3),0,INT(($B$3-MOD($A122,파라미터!$B$6)-1)/파라미터!$B$6)+1))</f>
        <v/>
      </c>
      <c r="C122" s="15">
        <f>MIN(파라미터!$B$15,파라미터!$B$5*(IF(B122&gt;=1,파라미터!$B$10,0)+IF(B122&gt;=2,파라미터!$B$11,0)+IF(B122&gt;=3,파라미터!$B$12,0)))</f>
        <v/>
      </c>
      <c r="D122" s="15">
        <f>((B122*파라미터!$B$5-파라미터!$B$5*(IF(B122&gt;=1,파라미터!$B$10,0)+IF(B122&gt;=2,파라미터!$B$11,0)+IF(B122&gt;=3,파라미터!$B$12,0)))+MAX(0,파라미터!$B$5*(IF(B122&gt;=1,파라미터!$B$10,0)+IF(B122&gt;=2,파라미터!$B$11,0)+IF(B122&gt;=3,파라미터!$B$12,0))-파라미터!$B$15))*파라미터!$B$16</f>
        <v/>
      </c>
      <c r="E122" s="15">
        <f>B122*파라미터!$B$7</f>
        <v/>
      </c>
      <c r="F122" s="15">
        <f>MAX(0,파라미터!$B$19+파라미터!$B$20-C122)</f>
        <v/>
      </c>
      <c r="G122" s="15">
        <f>IF(MOD($A122-1,파라미터!$B$22)=0,파라미터!$B$21,0)</f>
        <v/>
      </c>
      <c r="H122" s="15">
        <f>D122-E122-F122-G122</f>
        <v/>
      </c>
      <c r="I122" s="15">
        <f>MAX(0,I121+H122)</f>
        <v/>
      </c>
      <c r="J122" s="14">
        <f>B122*파라미터!$B$25</f>
        <v/>
      </c>
    </row>
    <row r="123">
      <c r="A123" s="14" t="n">
        <v>117</v>
      </c>
      <c r="B123" s="14">
        <f>IF($B$4=2,IF(AND(MOD($A123,파라미터!$B$6)=0,$A123&gt;=파라미터!$B$6),$B$3,0),IF(OR($A123&lt;파라미터!$B$6,MOD($A123,파라미터!$B$6)&gt;=$B$3),0,INT(($B$3-MOD($A123,파라미터!$B$6)-1)/파라미터!$B$6)+1))</f>
        <v/>
      </c>
      <c r="C123" s="15">
        <f>MIN(파라미터!$B$15,파라미터!$B$5*(IF(B123&gt;=1,파라미터!$B$10,0)+IF(B123&gt;=2,파라미터!$B$11,0)+IF(B123&gt;=3,파라미터!$B$12,0)))</f>
        <v/>
      </c>
      <c r="D123" s="15">
        <f>((B123*파라미터!$B$5-파라미터!$B$5*(IF(B123&gt;=1,파라미터!$B$10,0)+IF(B123&gt;=2,파라미터!$B$11,0)+IF(B123&gt;=3,파라미터!$B$12,0)))+MAX(0,파라미터!$B$5*(IF(B123&gt;=1,파라미터!$B$10,0)+IF(B123&gt;=2,파라미터!$B$11,0)+IF(B123&gt;=3,파라미터!$B$12,0))-파라미터!$B$15))*파라미터!$B$16</f>
        <v/>
      </c>
      <c r="E123" s="15">
        <f>B123*파라미터!$B$7</f>
        <v/>
      </c>
      <c r="F123" s="15">
        <f>MAX(0,파라미터!$B$19+파라미터!$B$20-C123)</f>
        <v/>
      </c>
      <c r="G123" s="15">
        <f>IF(MOD($A123-1,파라미터!$B$22)=0,파라미터!$B$21,0)</f>
        <v/>
      </c>
      <c r="H123" s="15">
        <f>D123-E123-F123-G123</f>
        <v/>
      </c>
      <c r="I123" s="15">
        <f>MAX(0,I122+H123)</f>
        <v/>
      </c>
      <c r="J123" s="14">
        <f>B123*파라미터!$B$25</f>
        <v/>
      </c>
    </row>
    <row r="124">
      <c r="A124" s="14" t="n">
        <v>118</v>
      </c>
      <c r="B124" s="14">
        <f>IF($B$4=2,IF(AND(MOD($A124,파라미터!$B$6)=0,$A124&gt;=파라미터!$B$6),$B$3,0),IF(OR($A124&lt;파라미터!$B$6,MOD($A124,파라미터!$B$6)&gt;=$B$3),0,INT(($B$3-MOD($A124,파라미터!$B$6)-1)/파라미터!$B$6)+1))</f>
        <v/>
      </c>
      <c r="C124" s="15">
        <f>MIN(파라미터!$B$15,파라미터!$B$5*(IF(B124&gt;=1,파라미터!$B$10,0)+IF(B124&gt;=2,파라미터!$B$11,0)+IF(B124&gt;=3,파라미터!$B$12,0)))</f>
        <v/>
      </c>
      <c r="D124" s="15">
        <f>((B124*파라미터!$B$5-파라미터!$B$5*(IF(B124&gt;=1,파라미터!$B$10,0)+IF(B124&gt;=2,파라미터!$B$11,0)+IF(B124&gt;=3,파라미터!$B$12,0)))+MAX(0,파라미터!$B$5*(IF(B124&gt;=1,파라미터!$B$10,0)+IF(B124&gt;=2,파라미터!$B$11,0)+IF(B124&gt;=3,파라미터!$B$12,0))-파라미터!$B$15))*파라미터!$B$16</f>
        <v/>
      </c>
      <c r="E124" s="15">
        <f>B124*파라미터!$B$7</f>
        <v/>
      </c>
      <c r="F124" s="15">
        <f>MAX(0,파라미터!$B$19+파라미터!$B$20-C124)</f>
        <v/>
      </c>
      <c r="G124" s="15">
        <f>IF(MOD($A124-1,파라미터!$B$22)=0,파라미터!$B$21,0)</f>
        <v/>
      </c>
      <c r="H124" s="15">
        <f>D124-E124-F124-G124</f>
        <v/>
      </c>
      <c r="I124" s="15">
        <f>MAX(0,I123+H124)</f>
        <v/>
      </c>
      <c r="J124" s="14">
        <f>B124*파라미터!$B$25</f>
        <v/>
      </c>
    </row>
    <row r="125">
      <c r="A125" s="14" t="n">
        <v>119</v>
      </c>
      <c r="B125" s="14">
        <f>IF($B$4=2,IF(AND(MOD($A125,파라미터!$B$6)=0,$A125&gt;=파라미터!$B$6),$B$3,0),IF(OR($A125&lt;파라미터!$B$6,MOD($A125,파라미터!$B$6)&gt;=$B$3),0,INT(($B$3-MOD($A125,파라미터!$B$6)-1)/파라미터!$B$6)+1))</f>
        <v/>
      </c>
      <c r="C125" s="15">
        <f>MIN(파라미터!$B$15,파라미터!$B$5*(IF(B125&gt;=1,파라미터!$B$10,0)+IF(B125&gt;=2,파라미터!$B$11,0)+IF(B125&gt;=3,파라미터!$B$12,0)))</f>
        <v/>
      </c>
      <c r="D125" s="15">
        <f>((B125*파라미터!$B$5-파라미터!$B$5*(IF(B125&gt;=1,파라미터!$B$10,0)+IF(B125&gt;=2,파라미터!$B$11,0)+IF(B125&gt;=3,파라미터!$B$12,0)))+MAX(0,파라미터!$B$5*(IF(B125&gt;=1,파라미터!$B$10,0)+IF(B125&gt;=2,파라미터!$B$11,0)+IF(B125&gt;=3,파라미터!$B$12,0))-파라미터!$B$15))*파라미터!$B$16</f>
        <v/>
      </c>
      <c r="E125" s="15">
        <f>B125*파라미터!$B$7</f>
        <v/>
      </c>
      <c r="F125" s="15">
        <f>MAX(0,파라미터!$B$19+파라미터!$B$20-C125)</f>
        <v/>
      </c>
      <c r="G125" s="15">
        <f>IF(MOD($A125-1,파라미터!$B$22)=0,파라미터!$B$21,0)</f>
        <v/>
      </c>
      <c r="H125" s="15">
        <f>D125-E125-F125-G125</f>
        <v/>
      </c>
      <c r="I125" s="15">
        <f>MAX(0,I124+H125)</f>
        <v/>
      </c>
      <c r="J125" s="14">
        <f>B125*파라미터!$B$25</f>
        <v/>
      </c>
    </row>
    <row r="126">
      <c r="A126" s="14" t="n">
        <v>120</v>
      </c>
      <c r="B126" s="14">
        <f>IF($B$4=2,IF(AND(MOD($A126,파라미터!$B$6)=0,$A126&gt;=파라미터!$B$6),$B$3,0),IF(OR($A126&lt;파라미터!$B$6,MOD($A126,파라미터!$B$6)&gt;=$B$3),0,INT(($B$3-MOD($A126,파라미터!$B$6)-1)/파라미터!$B$6)+1))</f>
        <v/>
      </c>
      <c r="C126" s="15">
        <f>MIN(파라미터!$B$15,파라미터!$B$5*(IF(B126&gt;=1,파라미터!$B$10,0)+IF(B126&gt;=2,파라미터!$B$11,0)+IF(B126&gt;=3,파라미터!$B$12,0)))</f>
        <v/>
      </c>
      <c r="D126" s="15">
        <f>((B126*파라미터!$B$5-파라미터!$B$5*(IF(B126&gt;=1,파라미터!$B$10,0)+IF(B126&gt;=2,파라미터!$B$11,0)+IF(B126&gt;=3,파라미터!$B$12,0)))+MAX(0,파라미터!$B$5*(IF(B126&gt;=1,파라미터!$B$10,0)+IF(B126&gt;=2,파라미터!$B$11,0)+IF(B126&gt;=3,파라미터!$B$12,0))-파라미터!$B$15))*파라미터!$B$16</f>
        <v/>
      </c>
      <c r="E126" s="15">
        <f>B126*파라미터!$B$7</f>
        <v/>
      </c>
      <c r="F126" s="15">
        <f>MAX(0,파라미터!$B$19+파라미터!$B$20-C126)</f>
        <v/>
      </c>
      <c r="G126" s="15">
        <f>IF(MOD($A126-1,파라미터!$B$22)=0,파라미터!$B$21,0)</f>
        <v/>
      </c>
      <c r="H126" s="15">
        <f>D126-E126-F126-G126</f>
        <v/>
      </c>
      <c r="I126" s="15">
        <f>MAX(0,I125+H126)</f>
        <v/>
      </c>
      <c r="J126" s="14">
        <f>B126*파라미터!$B$25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시루 수별 120일 결과</t>
        </is>
      </c>
    </row>
    <row r="2">
      <c r="A2" s="2" t="inlineStr">
        <is>
          <t>분배로 돌렸을 때. 「일자별 비교」 시트에서 뽑아 옵니다.</t>
        </is>
      </c>
    </row>
    <row r="4">
      <c r="A4" s="16" t="inlineStr">
        <is>
          <t>시루 수</t>
        </is>
      </c>
      <c r="B4" s="16" t="inlineStr">
        <is>
          <t>120일 누적 소지금</t>
        </is>
      </c>
      <c r="C4" s="16" t="inlineStr">
        <is>
          <t>돈이 마르는 날</t>
        </is>
      </c>
      <c r="D4" s="16" t="inlineStr">
        <is>
          <t>하루 최대 거둔 시루</t>
        </is>
      </c>
      <c r="E4" s="16" t="inlineStr">
        <is>
          <t>하루 최대 손</t>
        </is>
      </c>
      <c r="F4" s="16" t="inlineStr">
        <is>
          <t>시작 체력 5로 되나</t>
        </is>
      </c>
    </row>
    <row r="5">
      <c r="A5" s="14" t="n">
        <v>1</v>
      </c>
      <c r="B5" s="15">
        <f>'일자별 비교'!D124</f>
        <v/>
      </c>
      <c r="C5" s="17">
        <f>IFERROR(MATCH(0,'일자별 비교'!D5:D124,0),"안 마름")</f>
        <v/>
      </c>
      <c r="D5" s="14">
        <f>MAX('일자별 비교'!B5:B124)</f>
        <v/>
      </c>
      <c r="E5" s="14">
        <f>D5*파라미터!$B$25</f>
        <v/>
      </c>
      <c r="F5">
        <f>IF(E5&lt;=파라미터!$B$24,"된다","체력 "&amp;E5&amp;" 필요")</f>
        <v/>
      </c>
    </row>
    <row r="6">
      <c r="A6" s="14" t="n">
        <v>2</v>
      </c>
      <c r="B6" s="15">
        <f>'일자별 비교'!G124</f>
        <v/>
      </c>
      <c r="C6" s="17">
        <f>IFERROR(MATCH(0,'일자별 비교'!G5:G124,0),"안 마름")</f>
        <v/>
      </c>
      <c r="D6" s="14">
        <f>MAX('일자별 비교'!E5:E124)</f>
        <v/>
      </c>
      <c r="E6" s="14">
        <f>D6*파라미터!$B$25</f>
        <v/>
      </c>
      <c r="F6">
        <f>IF(E6&lt;=파라미터!$B$24,"된다","체력 "&amp;E6&amp;" 필요")</f>
        <v/>
      </c>
    </row>
    <row r="7">
      <c r="A7" s="14" t="n">
        <v>3</v>
      </c>
      <c r="B7" s="15">
        <f>'일자별 비교'!J124</f>
        <v/>
      </c>
      <c r="C7" s="17">
        <f>IFERROR(MATCH(0,'일자별 비교'!J5:J124,0),"안 마름")</f>
        <v/>
      </c>
      <c r="D7" s="14">
        <f>MAX('일자별 비교'!H5:H124)</f>
        <v/>
      </c>
      <c r="E7" s="14">
        <f>D7*파라미터!$B$25</f>
        <v/>
      </c>
      <c r="F7">
        <f>IF(E7&lt;=파라미터!$B$24,"된다","체력 "&amp;E7&amp;" 필요")</f>
        <v/>
      </c>
    </row>
    <row r="8">
      <c r="A8" s="14" t="n">
        <v>5</v>
      </c>
      <c r="B8" s="15">
        <f>'일자별 비교'!M124</f>
        <v/>
      </c>
      <c r="C8" s="17">
        <f>IFERROR(MATCH(0,'일자별 비교'!M5:M124,0),"안 마름")</f>
        <v/>
      </c>
      <c r="D8" s="14">
        <f>MAX('일자별 비교'!K5:K124)</f>
        <v/>
      </c>
      <c r="E8" s="14">
        <f>D8*파라미터!$B$25</f>
        <v/>
      </c>
      <c r="F8">
        <f>IF(E8&lt;=파라미터!$B$24,"된다","체력 "&amp;E8&amp;" 필요")</f>
        <v/>
      </c>
    </row>
    <row r="9">
      <c r="A9" s="14" t="n">
        <v>10</v>
      </c>
      <c r="B9" s="15">
        <f>'일자별 비교'!P124</f>
        <v/>
      </c>
      <c r="C9" s="17">
        <f>IFERROR(MATCH(0,'일자별 비교'!P5:P124,0),"안 마름")</f>
        <v/>
      </c>
      <c r="D9" s="14">
        <f>MAX('일자별 비교'!N5:N124)</f>
        <v/>
      </c>
      <c r="E9" s="14">
        <f>D9*파라미터!$B$25</f>
        <v/>
      </c>
      <c r="F9">
        <f>IF(E9&lt;=파라미터!$B$24,"된다","체력 "&amp;E9&amp;" 필요")</f>
        <v/>
      </c>
    </row>
    <row r="10">
      <c r="A10" s="14" t="n">
        <v>20</v>
      </c>
      <c r="B10" s="15">
        <f>'일자별 비교'!S124</f>
        <v/>
      </c>
      <c r="C10" s="17">
        <f>IFERROR(MATCH(0,'일자별 비교'!S5:S124,0),"안 마름")</f>
        <v/>
      </c>
      <c r="D10" s="14">
        <f>MAX('일자별 비교'!Q5:Q124)</f>
        <v/>
      </c>
      <c r="E10" s="14">
        <f>D10*파라미터!$B$25</f>
        <v/>
      </c>
      <c r="F10">
        <f>IF(E10&lt;=파라미터!$B$24,"된다","체력 "&amp;E10&amp;" 필요")</f>
        <v/>
      </c>
    </row>
    <row r="13">
      <c r="A13" s="11" t="inlineStr">
        <is>
          <t>읽는 법</t>
        </is>
      </c>
    </row>
    <row r="14">
      <c r="A14" s="2" t="inlineStr">
        <is>
          <t>· 「돈이 마르는 날」이 이르면 그 시루 수로는 못 버팁니다.</t>
        </is>
      </c>
    </row>
    <row r="15">
      <c r="A15" s="2" t="inlineStr">
        <is>
          <t>· 「필요 최대체력」이 시작 체력 5보다 크면, 체력을 먼저 올려야 그만큼 굴릴 수 있습니다.</t>
        </is>
      </c>
    </row>
    <row r="16">
      <c r="A16" s="2" t="inlineStr">
        <is>
          <t>· 잉여 판매는 곳간 상한을 넘겨야 생깁니다 — 시루가 적으면 0입니다.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2026-08-09T11:57:23Z</dcterms:created>
  <dcterms:modified xsi:type="dcterms:W3CDTF">2026-08-09T11:57:23Z</dcterms:modified>
</cp:coreProperties>
</file>